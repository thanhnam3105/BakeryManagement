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aveExternalLinkValues="0" codeName="ThisWorkbook"/>
  <bookViews>
    <workbookView xWindow="-105" yWindow="-75" windowWidth="9645" windowHeight="7275" tabRatio="595"/>
  </bookViews>
  <sheets>
    <sheet name="原価試算" sheetId="2" r:id="rId1"/>
    <sheet name="試算結果" sheetId="27" r:id="rId2"/>
    <sheet name="原料確認" sheetId="28" r:id="rId3"/>
    <sheet name="Setting" sheetId="26" state="hidden" r:id="rId4"/>
  </sheets>
  <externalReferences>
    <externalReference r:id="rId5"/>
    <externalReference r:id="rId6"/>
    <externalReference r:id="rId7"/>
    <externalReference r:id="rId8"/>
  </externalReferences>
  <definedNames>
    <definedName name="_Fill" hidden="1">#REF!</definedName>
    <definedName name="_xlnm._FilterDatabase" localSheetId="0" hidden="1">原価試算!#REF!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aaa">#REF!</definedName>
    <definedName name="AuthorName">#REF!</definedName>
    <definedName name="bottlM">#REF!</definedName>
    <definedName name="CODE">原価試算!#REF!</definedName>
    <definedName name="CreateDate">#REF!</definedName>
    <definedName name="CurrentDate">#REF!</definedName>
    <definedName name="CurrentID">#REF!</definedName>
    <definedName name="CurrentPage">#REF!</definedName>
    <definedName name="Dept">#REF!</definedName>
    <definedName name="Factry">#REF!</definedName>
    <definedName name="FooterText">#REF!</definedName>
    <definedName name="HeaderText">#REF!</definedName>
    <definedName name="Lbtantou">#REF!</definedName>
    <definedName name="MDB">[1]ＭＤＢ!$A$1:$S$2000</definedName>
    <definedName name="PrdMethod">#REF!</definedName>
    <definedName name="_xlnm.Print_Area" localSheetId="0">原価試算!#REF!</definedName>
    <definedName name="Salles">#REF!</definedName>
    <definedName name="SLife">#REF!</definedName>
    <definedName name="Temp">#REF!</definedName>
    <definedName name="test">#REF!</definedName>
    <definedName name="Title">#REF!</definedName>
    <definedName name="youki">#REF!</definedName>
    <definedName name="あ">#REF!</definedName>
    <definedName name="い">#REF!</definedName>
    <definedName name="う">#REF!</definedName>
    <definedName name="材料表">#REF!</definedName>
    <definedName name="単価表">#REF!</definedName>
    <definedName name="単価表１">#REF!</definedName>
    <definedName name="単価歩留リスト">#REF!</definedName>
    <definedName name="単身ＢＯ">#REF!</definedName>
    <definedName name="値範囲">#REF!</definedName>
    <definedName name="配合">#REF!</definedName>
    <definedName name="本文">#REF!</definedName>
  </definedNames>
  <calcPr calcId="145621"/>
</workbook>
</file>

<file path=xl/calcChain.xml><?xml version="1.0" encoding="utf-8"?>
<calcChain xmlns="http://schemas.openxmlformats.org/spreadsheetml/2006/main">
  <c r="I97" i="28" l="1"/>
  <c r="I98" i="28"/>
  <c r="I99" i="28"/>
  <c r="I100" i="28"/>
  <c r="I101" i="28"/>
  <c r="I102" i="28"/>
  <c r="I103" i="28"/>
  <c r="I104" i="28"/>
  <c r="I105" i="28"/>
  <c r="I106" i="28"/>
  <c r="I107" i="28"/>
  <c r="I108" i="28"/>
  <c r="I109" i="28"/>
  <c r="I110" i="28"/>
  <c r="I111" i="28"/>
  <c r="I112" i="28"/>
  <c r="I113" i="28"/>
  <c r="I114" i="28"/>
  <c r="I115" i="28"/>
  <c r="I116" i="28"/>
  <c r="I117" i="28"/>
  <c r="I118" i="28"/>
  <c r="I119" i="28"/>
  <c r="I120" i="28"/>
  <c r="I121" i="28"/>
  <c r="I122" i="28"/>
  <c r="I123" i="28"/>
  <c r="I124" i="28"/>
  <c r="I125" i="28"/>
  <c r="I126" i="28"/>
  <c r="I127" i="28"/>
  <c r="I128" i="28"/>
  <c r="I129" i="28"/>
  <c r="I130" i="28"/>
  <c r="I131" i="28"/>
  <c r="I132" i="28"/>
  <c r="I133" i="28"/>
  <c r="I134" i="28"/>
  <c r="H97" i="28"/>
  <c r="H98" i="28"/>
  <c r="H99" i="28"/>
  <c r="H100" i="28"/>
  <c r="H101" i="28"/>
  <c r="H102" i="28"/>
  <c r="H103" i="28"/>
  <c r="H104" i="28"/>
  <c r="H105" i="28"/>
  <c r="H106" i="28"/>
  <c r="H107" i="28"/>
  <c r="H108" i="28"/>
  <c r="H109" i="28"/>
  <c r="H110" i="28"/>
  <c r="H111" i="28"/>
  <c r="H112" i="28"/>
  <c r="H113" i="28"/>
  <c r="H114" i="28"/>
  <c r="H115" i="28"/>
  <c r="H116" i="28"/>
  <c r="H117" i="28"/>
  <c r="H118" i="28"/>
  <c r="H119" i="28"/>
  <c r="H120" i="28"/>
  <c r="H121" i="28"/>
  <c r="H122" i="28"/>
  <c r="H123" i="28"/>
  <c r="H124" i="28"/>
  <c r="H125" i="28"/>
  <c r="H126" i="28"/>
  <c r="H127" i="28"/>
  <c r="H128" i="28"/>
  <c r="H129" i="28"/>
  <c r="H130" i="28"/>
  <c r="H131" i="28"/>
  <c r="H132" i="28"/>
  <c r="H133" i="28"/>
  <c r="H134" i="28"/>
  <c r="I96" i="28"/>
  <c r="H96" i="28"/>
  <c r="H58" i="28"/>
  <c r="I58" i="28"/>
  <c r="H59" i="28"/>
  <c r="I59" i="28"/>
  <c r="H60" i="28"/>
  <c r="I60" i="28"/>
  <c r="H61" i="28"/>
  <c r="I61" i="28"/>
  <c r="H62" i="28"/>
  <c r="I62" i="28"/>
  <c r="H63" i="28"/>
  <c r="I63" i="28"/>
  <c r="H64" i="28"/>
  <c r="I64" i="28"/>
  <c r="H65" i="28"/>
  <c r="I65" i="28"/>
  <c r="H66" i="28"/>
  <c r="I66" i="28"/>
  <c r="H67" i="28"/>
  <c r="I67" i="28"/>
  <c r="H68" i="28"/>
  <c r="I68" i="28"/>
  <c r="H69" i="28"/>
  <c r="I69" i="28"/>
  <c r="H70" i="28"/>
  <c r="I70" i="28"/>
  <c r="H71" i="28"/>
  <c r="I71" i="28"/>
  <c r="H72" i="28"/>
  <c r="I72" i="28"/>
  <c r="H73" i="28"/>
  <c r="I73" i="28"/>
  <c r="H74" i="28"/>
  <c r="I74" i="28"/>
  <c r="H75" i="28"/>
  <c r="I75" i="28"/>
  <c r="H76" i="28"/>
  <c r="I76" i="28"/>
  <c r="H77" i="28"/>
  <c r="I77" i="28"/>
  <c r="H78" i="28"/>
  <c r="I78" i="28"/>
  <c r="H79" i="28"/>
  <c r="I79" i="28"/>
  <c r="H80" i="28"/>
  <c r="I80" i="28"/>
  <c r="H81" i="28"/>
  <c r="I81" i="28"/>
  <c r="H82" i="28"/>
  <c r="I82" i="28"/>
  <c r="H83" i="28"/>
  <c r="I83" i="28"/>
  <c r="H84" i="28"/>
  <c r="I84" i="28"/>
  <c r="H85" i="28"/>
  <c r="I85" i="28"/>
  <c r="H86" i="28"/>
  <c r="I86" i="28"/>
  <c r="H87" i="28"/>
  <c r="I87" i="28"/>
  <c r="H88" i="28"/>
  <c r="I88" i="28"/>
  <c r="H89" i="28"/>
  <c r="I89" i="28"/>
  <c r="H90" i="28"/>
  <c r="I90" i="28"/>
  <c r="H91" i="28"/>
  <c r="I91" i="28"/>
  <c r="H92" i="28"/>
  <c r="I92" i="28"/>
  <c r="H93" i="28"/>
  <c r="I93" i="28"/>
  <c r="I57" i="28"/>
  <c r="H57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I37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16" i="28"/>
  <c r="G97" i="28"/>
  <c r="G98" i="28"/>
  <c r="G99" i="28"/>
  <c r="G100" i="28"/>
  <c r="G101" i="28"/>
  <c r="G102" i="28"/>
  <c r="G103" i="28"/>
  <c r="G104" i="28"/>
  <c r="G105" i="28"/>
  <c r="G106" i="28"/>
  <c r="G107" i="28"/>
  <c r="G108" i="28"/>
  <c r="G109" i="28"/>
  <c r="G110" i="28"/>
  <c r="G111" i="28"/>
  <c r="G112" i="28"/>
  <c r="G113" i="28"/>
  <c r="G114" i="28"/>
  <c r="G115" i="28"/>
  <c r="G116" i="28"/>
  <c r="G117" i="28"/>
  <c r="G118" i="28"/>
  <c r="G119" i="28"/>
  <c r="G120" i="28"/>
  <c r="G121" i="28"/>
  <c r="G122" i="28"/>
  <c r="G123" i="28"/>
  <c r="G124" i="28"/>
  <c r="G125" i="28"/>
  <c r="G126" i="28"/>
  <c r="G127" i="28"/>
  <c r="G128" i="28"/>
  <c r="G129" i="28"/>
  <c r="G130" i="28"/>
  <c r="G131" i="28"/>
  <c r="G132" i="28"/>
  <c r="G133" i="28"/>
  <c r="G134" i="28"/>
  <c r="G96" i="28"/>
  <c r="G93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57" i="28"/>
  <c r="G54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L57" i="2"/>
  <c r="O153" i="2"/>
  <c r="L153" i="2"/>
  <c r="L156" i="2" s="1"/>
  <c r="I153" i="2"/>
  <c r="I159" i="2"/>
  <c r="O151" i="2"/>
  <c r="L151" i="2"/>
  <c r="I151" i="2"/>
  <c r="N55" i="2"/>
  <c r="N94" i="2" s="1"/>
  <c r="O142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K55" i="2"/>
  <c r="K94" i="2"/>
  <c r="L142" i="2"/>
  <c r="I16" i="2"/>
  <c r="I55" i="2" s="1"/>
  <c r="I94" i="2" s="1"/>
  <c r="I146" i="2" s="1"/>
  <c r="I149" i="2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H55" i="2"/>
  <c r="H94" i="2"/>
  <c r="I142" i="2"/>
  <c r="O159" i="2"/>
  <c r="O158" i="2"/>
  <c r="I158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135" i="2" s="1"/>
  <c r="I98" i="2"/>
  <c r="I97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L96" i="2"/>
  <c r="L158" i="2"/>
  <c r="I96" i="2"/>
  <c r="I170" i="2"/>
  <c r="I184" i="2" s="1"/>
  <c r="I169" i="2"/>
  <c r="I147" i="2"/>
  <c r="I144" i="2"/>
  <c r="L144" i="2"/>
  <c r="O155" i="2"/>
  <c r="O154" i="2"/>
  <c r="D11" i="2"/>
  <c r="E11" i="2"/>
  <c r="K1" i="2"/>
  <c r="O96" i="2"/>
  <c r="O135" i="2" s="1"/>
  <c r="L159" i="2"/>
  <c r="L155" i="2"/>
  <c r="I155" i="2"/>
  <c r="L154" i="2"/>
  <c r="I154" i="2"/>
  <c r="O147" i="2"/>
  <c r="L147" i="2"/>
  <c r="O144" i="2"/>
  <c r="I183" i="2"/>
  <c r="N135" i="2"/>
  <c r="K135" i="2"/>
  <c r="H135" i="2"/>
  <c r="I5" i="28"/>
  <c r="H5" i="28"/>
  <c r="G5" i="28"/>
  <c r="I6" i="28"/>
  <c r="H6" i="28"/>
  <c r="G6" i="28"/>
  <c r="I4" i="28"/>
  <c r="H4" i="28"/>
  <c r="G4" i="28"/>
  <c r="E96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71" i="28"/>
  <c r="E72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22" i="28"/>
  <c r="E30" i="28"/>
  <c r="E29" i="28"/>
  <c r="E28" i="28"/>
  <c r="E27" i="28"/>
  <c r="E26" i="28"/>
  <c r="E25" i="28"/>
  <c r="E24" i="28"/>
  <c r="E23" i="28"/>
  <c r="E21" i="28"/>
  <c r="D134" i="28"/>
  <c r="C134" i="28"/>
  <c r="D133" i="28"/>
  <c r="C133" i="28"/>
  <c r="D132" i="28"/>
  <c r="C132" i="28"/>
  <c r="D131" i="28"/>
  <c r="C131" i="28"/>
  <c r="D130" i="28"/>
  <c r="C130" i="28"/>
  <c r="D129" i="28"/>
  <c r="C129" i="28"/>
  <c r="D128" i="28"/>
  <c r="C128" i="28"/>
  <c r="D127" i="28"/>
  <c r="C127" i="28"/>
  <c r="D126" i="28"/>
  <c r="C126" i="28"/>
  <c r="D125" i="28"/>
  <c r="C125" i="28"/>
  <c r="D124" i="28"/>
  <c r="C124" i="28"/>
  <c r="D123" i="28"/>
  <c r="C123" i="28"/>
  <c r="D122" i="28"/>
  <c r="C122" i="28"/>
  <c r="D121" i="28"/>
  <c r="C121" i="28"/>
  <c r="D120" i="28"/>
  <c r="C120" i="28"/>
  <c r="D119" i="28"/>
  <c r="C119" i="28"/>
  <c r="D118" i="28"/>
  <c r="C118" i="28"/>
  <c r="D117" i="28"/>
  <c r="C117" i="28"/>
  <c r="D116" i="28"/>
  <c r="C116" i="28"/>
  <c r="D115" i="28"/>
  <c r="C115" i="28"/>
  <c r="D114" i="28"/>
  <c r="C114" i="28"/>
  <c r="D113" i="28"/>
  <c r="C113" i="28"/>
  <c r="D112" i="28"/>
  <c r="C112" i="28"/>
  <c r="D111" i="28"/>
  <c r="C111" i="28"/>
  <c r="D110" i="28"/>
  <c r="C110" i="28"/>
  <c r="D109" i="28"/>
  <c r="C109" i="28"/>
  <c r="D108" i="28"/>
  <c r="C108" i="28"/>
  <c r="D107" i="28"/>
  <c r="C107" i="28"/>
  <c r="D106" i="28"/>
  <c r="C106" i="28"/>
  <c r="D105" i="28"/>
  <c r="C105" i="28"/>
  <c r="D104" i="28"/>
  <c r="C104" i="28"/>
  <c r="D103" i="28"/>
  <c r="C103" i="28"/>
  <c r="D102" i="28"/>
  <c r="C102" i="28"/>
  <c r="D101" i="28"/>
  <c r="C101" i="28"/>
  <c r="D100" i="28"/>
  <c r="C100" i="28"/>
  <c r="D99" i="28"/>
  <c r="C99" i="28"/>
  <c r="D98" i="28"/>
  <c r="C98" i="28"/>
  <c r="E97" i="28"/>
  <c r="D97" i="28"/>
  <c r="C97" i="28"/>
  <c r="D96" i="28"/>
  <c r="C96" i="28"/>
  <c r="D93" i="28"/>
  <c r="C93" i="28"/>
  <c r="D92" i="28"/>
  <c r="C92" i="28"/>
  <c r="D91" i="28"/>
  <c r="C91" i="28"/>
  <c r="D90" i="28"/>
  <c r="C90" i="28"/>
  <c r="D89" i="28"/>
  <c r="C89" i="28"/>
  <c r="D88" i="28"/>
  <c r="C88" i="28"/>
  <c r="D87" i="28"/>
  <c r="C87" i="28"/>
  <c r="D86" i="28"/>
  <c r="C86" i="28"/>
  <c r="D85" i="28"/>
  <c r="C85" i="28"/>
  <c r="D84" i="28"/>
  <c r="C84" i="28"/>
  <c r="D83" i="28"/>
  <c r="C83" i="28"/>
  <c r="D82" i="28"/>
  <c r="C82" i="28"/>
  <c r="D81" i="28"/>
  <c r="C81" i="28"/>
  <c r="D80" i="28"/>
  <c r="C80" i="28"/>
  <c r="D79" i="28"/>
  <c r="C79" i="28"/>
  <c r="D78" i="28"/>
  <c r="C78" i="28"/>
  <c r="D77" i="28"/>
  <c r="C77" i="28"/>
  <c r="D76" i="28"/>
  <c r="C76" i="28"/>
  <c r="D75" i="28"/>
  <c r="C75" i="28"/>
  <c r="D74" i="28"/>
  <c r="C74" i="28"/>
  <c r="D73" i="28"/>
  <c r="C73" i="28"/>
  <c r="D72" i="28"/>
  <c r="C72" i="28"/>
  <c r="D71" i="28"/>
  <c r="C71" i="28"/>
  <c r="D70" i="28"/>
  <c r="C70" i="28"/>
  <c r="D69" i="28"/>
  <c r="C69" i="28"/>
  <c r="D68" i="28"/>
  <c r="C68" i="28"/>
  <c r="D67" i="28"/>
  <c r="C67" i="28"/>
  <c r="D66" i="28"/>
  <c r="C66" i="28"/>
  <c r="D65" i="28"/>
  <c r="C65" i="28"/>
  <c r="D64" i="28"/>
  <c r="C64" i="28"/>
  <c r="D63" i="28"/>
  <c r="C63" i="28"/>
  <c r="D62" i="28"/>
  <c r="C62" i="28"/>
  <c r="D61" i="28"/>
  <c r="C61" i="28"/>
  <c r="D60" i="28"/>
  <c r="C60" i="28"/>
  <c r="D59" i="28"/>
  <c r="C59" i="28"/>
  <c r="E58" i="28"/>
  <c r="D58" i="28"/>
  <c r="C58" i="28"/>
  <c r="E57" i="28"/>
  <c r="D57" i="28"/>
  <c r="C57" i="28"/>
  <c r="D54" i="28"/>
  <c r="C54" i="28"/>
  <c r="D53" i="28"/>
  <c r="C53" i="28"/>
  <c r="D52" i="28"/>
  <c r="C52" i="28"/>
  <c r="D51" i="28"/>
  <c r="C51" i="28"/>
  <c r="D50" i="28"/>
  <c r="C50" i="28"/>
  <c r="D49" i="28"/>
  <c r="C49" i="28"/>
  <c r="D48" i="28"/>
  <c r="C48" i="28"/>
  <c r="D47" i="28"/>
  <c r="C47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30" i="28"/>
  <c r="C30" i="28"/>
  <c r="D29" i="28"/>
  <c r="C29" i="28"/>
  <c r="D28" i="28"/>
  <c r="C28" i="28"/>
  <c r="D27" i="28"/>
  <c r="C27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E20" i="28"/>
  <c r="D20" i="28"/>
  <c r="C20" i="28"/>
  <c r="E19" i="28"/>
  <c r="D19" i="28"/>
  <c r="C19" i="28"/>
  <c r="E18" i="28"/>
  <c r="D18" i="28"/>
  <c r="C18" i="28"/>
  <c r="E17" i="28"/>
  <c r="D17" i="28"/>
  <c r="C17" i="28"/>
  <c r="E16" i="28"/>
  <c r="D16" i="28"/>
  <c r="C16" i="28"/>
  <c r="I14" i="28"/>
  <c r="H14" i="28"/>
  <c r="G14" i="28"/>
  <c r="D2" i="28"/>
  <c r="I1" i="28"/>
  <c r="H1" i="28"/>
  <c r="C4" i="27"/>
  <c r="C5" i="27" s="1"/>
  <c r="E4" i="27"/>
  <c r="E5" i="27" s="1"/>
  <c r="D4" i="27"/>
  <c r="D8" i="27" s="1"/>
  <c r="C2" i="27"/>
  <c r="E9" i="27"/>
  <c r="E8" i="27"/>
  <c r="E7" i="27"/>
  <c r="E6" i="27"/>
  <c r="L55" i="2" l="1"/>
  <c r="L94" i="2" s="1"/>
  <c r="L146" i="2" s="1"/>
  <c r="L149" i="2" s="1"/>
  <c r="O156" i="2"/>
  <c r="O55" i="2"/>
  <c r="O94" i="2" s="1"/>
  <c r="O146" i="2" s="1"/>
  <c r="O149" i="2" s="1"/>
  <c r="L135" i="2"/>
  <c r="I156" i="2"/>
  <c r="E13" i="27"/>
  <c r="E12" i="27"/>
  <c r="E11" i="27"/>
  <c r="E10" i="27"/>
  <c r="C13" i="27"/>
  <c r="C11" i="27"/>
  <c r="C7" i="27"/>
  <c r="C12" i="27"/>
  <c r="C10" i="27"/>
  <c r="C6" i="27"/>
  <c r="C9" i="27"/>
  <c r="D7" i="27"/>
  <c r="D9" i="27"/>
  <c r="D5" i="27"/>
  <c r="D6" i="27"/>
  <c r="D12" i="27" l="1"/>
  <c r="D11" i="27"/>
  <c r="D13" i="27"/>
  <c r="D10" i="27"/>
</calcChain>
</file>

<file path=xl/comments1.xml><?xml version="1.0" encoding="utf-8"?>
<comments xmlns="http://schemas.openxmlformats.org/spreadsheetml/2006/main">
  <authors>
    <author>★あるが★</author>
    <author>USER</author>
  </authors>
  <commentList>
    <comment ref="F1" authorId="0">
      <text>
        <r>
          <rPr>
            <sz val="12"/>
            <color indexed="81"/>
            <rFont val="ＭＳ Ｐゴシック"/>
            <family val="3"/>
            <charset val="128"/>
          </rPr>
          <t>業務用ＰＢ
試作依頼№</t>
        </r>
      </text>
    </comment>
    <comment ref="I1" authorId="1">
      <text>
        <r>
          <rPr>
            <b/>
            <sz val="11"/>
            <color indexed="12"/>
            <rFont val="ＭＳ Ｐゴシック"/>
            <family val="3"/>
            <charset val="128"/>
          </rPr>
          <t>ダブルクリックで今日の日付が入ります。</t>
        </r>
      </text>
    </comment>
    <comment ref="H142" authorId="0">
      <text>
        <r>
          <rPr>
            <sz val="11"/>
            <color indexed="81"/>
            <rFont val="ＭＳ Ｐゴシック"/>
            <family val="3"/>
            <charset val="128"/>
          </rPr>
          <t xml:space="preserve">ケースあたりの重量
(内容量×入数)
</t>
        </r>
      </text>
    </comment>
    <comment ref="H143" authorId="0">
      <text>
        <r>
          <rPr>
            <sz val="11"/>
            <color indexed="81"/>
            <rFont val="ＭＳ Ｐゴシック"/>
            <family val="3"/>
            <charset val="128"/>
          </rPr>
          <t>充填歩留を加味した
ケースあたりの充填量</t>
        </r>
      </text>
    </comment>
    <comment ref="H144" authorId="0">
      <text>
        <r>
          <rPr>
            <sz val="11"/>
            <color indexed="81"/>
            <rFont val="ＭＳ Ｐゴシック"/>
            <family val="3"/>
            <charset val="128"/>
          </rPr>
          <t>比重を加味したケース
あたりの平均充填量
(計算式には関係なし)</t>
        </r>
      </text>
    </comment>
  </commentList>
</comments>
</file>

<file path=xl/sharedStrings.xml><?xml version="1.0" encoding="utf-8"?>
<sst xmlns="http://schemas.openxmlformats.org/spreadsheetml/2006/main" count="873" uniqueCount="449">
  <si>
    <t>製造方法</t>
  </si>
  <si>
    <t>充填方法</t>
  </si>
  <si>
    <t>【代入設定シート】</t>
  </si>
  <si>
    <t>No</t>
  </si>
  <si>
    <t>代入するシート</t>
  </si>
  <si>
    <t>代入する列</t>
  </si>
  <si>
    <t>代入する行</t>
  </si>
  <si>
    <t>代入方法</t>
  </si>
  <si>
    <t>リスト方向</t>
  </si>
  <si>
    <t>リスト行数</t>
  </si>
  <si>
    <t>リンク項目名</t>
  </si>
  <si>
    <t>備考</t>
  </si>
  <si>
    <t>原価試算</t>
  </si>
  <si>
    <t>代入</t>
  </si>
  <si>
    <t>品名</t>
  </si>
  <si>
    <t>依頼番号</t>
  </si>
  <si>
    <t>日付</t>
  </si>
  <si>
    <t>YYYY年MM月DD日</t>
  </si>
  <si>
    <t>研究所</t>
  </si>
  <si>
    <t>ログイン者名</t>
  </si>
  <si>
    <t>営業</t>
  </si>
  <si>
    <t>試作表③　担当営業者</t>
  </si>
  <si>
    <t>サンプルNo1</t>
  </si>
  <si>
    <t>サンプルNo2</t>
  </si>
  <si>
    <t>サンプルNo3</t>
  </si>
  <si>
    <t>リスト</t>
  </si>
  <si>
    <t>縦</t>
  </si>
  <si>
    <t>工程1_新規原料</t>
  </si>
  <si>
    <t>新規の場合は、「☆」マーク表示</t>
  </si>
  <si>
    <t>工程1_品コード</t>
  </si>
  <si>
    <t>1 : 殺菌調味液</t>
  </si>
  <si>
    <t>工程1_品名</t>
  </si>
  <si>
    <t>工程1_単価</t>
  </si>
  <si>
    <t>工程1_歩留</t>
  </si>
  <si>
    <t>工程1_配合1</t>
  </si>
  <si>
    <t>工程1_配合2</t>
  </si>
  <si>
    <t>工程1_配合3</t>
  </si>
  <si>
    <t>工程2_新規原料</t>
  </si>
  <si>
    <t>工程2_品コード</t>
  </si>
  <si>
    <t>2 : 水相</t>
  </si>
  <si>
    <t>工程2_品名</t>
  </si>
  <si>
    <t>工程2_単価</t>
  </si>
  <si>
    <t>工程2_歩留</t>
  </si>
  <si>
    <t>工程2_配合1</t>
  </si>
  <si>
    <t>工程2_配合2</t>
  </si>
  <si>
    <t>工程2_配合3</t>
  </si>
  <si>
    <t>工程3_新規原料</t>
  </si>
  <si>
    <t>工程3_品コード</t>
  </si>
  <si>
    <t>3 : 油相</t>
  </si>
  <si>
    <t>工程3_品名</t>
  </si>
  <si>
    <t>工程3_単価</t>
  </si>
  <si>
    <t>工程3_歩留</t>
  </si>
  <si>
    <t>工程3_配合1</t>
  </si>
  <si>
    <t>工程3_配合2</t>
  </si>
  <si>
    <t>工程3_配合3</t>
  </si>
  <si>
    <t>水相1</t>
  </si>
  <si>
    <t>原価試算⑤　充填量水相</t>
  </si>
  <si>
    <t>油相1</t>
  </si>
  <si>
    <t>原価試算⑤　充填量油相</t>
  </si>
  <si>
    <t>比重1</t>
  </si>
  <si>
    <t>試作表②　比重</t>
  </si>
  <si>
    <t>水相2</t>
  </si>
  <si>
    <t>油相2</t>
  </si>
  <si>
    <t>比重2</t>
  </si>
  <si>
    <t>水相3</t>
  </si>
  <si>
    <t>油相3</t>
  </si>
  <si>
    <t>比重3</t>
  </si>
  <si>
    <t>&lt;試算条件&gt;</t>
  </si>
  <si>
    <t>殺菌方法</t>
  </si>
  <si>
    <t>取扱温度</t>
  </si>
  <si>
    <t>容器・包材</t>
  </si>
  <si>
    <t>荷姿</t>
  </si>
  <si>
    <t>内容量</t>
  </si>
  <si>
    <t>入り数</t>
  </si>
  <si>
    <t>賞味期間</t>
  </si>
  <si>
    <t>平均充填量1</t>
  </si>
  <si>
    <t>有効歩留1</t>
  </si>
  <si>
    <t>固定費1</t>
  </si>
  <si>
    <t>平均充填量2</t>
  </si>
  <si>
    <t>有効歩留2</t>
  </si>
  <si>
    <t>固定費2</t>
  </si>
  <si>
    <t>平均充填量3</t>
  </si>
  <si>
    <t>有効歩留3</t>
  </si>
  <si>
    <t>固定費3</t>
  </si>
  <si>
    <t>資材_対象資材（工場記号）</t>
  </si>
  <si>
    <t>資材</t>
  </si>
  <si>
    <t>資材_資材コード</t>
  </si>
  <si>
    <t>資材_資材名</t>
  </si>
  <si>
    <t>資材_単価</t>
  </si>
  <si>
    <t>資材_歩留</t>
  </si>
  <si>
    <t>資材_使用量</t>
  </si>
  <si>
    <t>サンプル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</si>
  <si>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</si>
  <si>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</si>
  <si>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</si>
  <si>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</si>
  <si>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</si>
  <si>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</si>
  <si>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</si>
  <si>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</si>
  <si>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</si>
  <si>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</si>
  <si>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</si>
  <si>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</si>
  <si>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</si>
  <si>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</si>
  <si>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</si>
  <si>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</si>
  <si>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</si>
  <si>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</si>
  <si>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</si>
  <si>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</si>
  <si>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</si>
  <si>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</si>
  <si>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</si>
  <si>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</si>
  <si>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</si>
  <si>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</si>
  <si>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</si>
  <si>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</si>
  <si>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</si>
  <si>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</si>
  <si>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</si>
  <si>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</si>
  <si>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</si>
  <si>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</si>
  <si>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</si>
  <si>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</si>
  <si>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</si>
  <si>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</si>
  <si>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</si>
  <si>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</si>
  <si>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</si>
  <si>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</si>
  <si>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</si>
  <si>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</si>
  <si>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</si>
  <si>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</si>
  <si>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</si>
  <si>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</si>
  <si>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</si>
  <si>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</si>
  <si>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</si>
  <si>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</si>
  <si>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</si>
  <si>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</si>
  <si>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</si>
  <si>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</si>
  <si>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</si>
  <si>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</si>
  <si>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</si>
  <si>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</si>
  <si>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</si>
  <si>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</si>
  <si>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</si>
  <si>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</si>
  <si>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</si>
  <si>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</si>
  <si>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</si>
  <si>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</si>
  <si>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</si>
  <si>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</si>
  <si>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</si>
  <si>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</si>
  <si>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</si>
  <si>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</si>
  <si>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&lt;&lt;合計／水相合計&gt;&gt;</t>
  </si>
  <si>
    <t>&lt;&lt;ドレ２液油相&gt;&gt;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</si>
  <si>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</si>
  <si>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</si>
  <si>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</si>
  <si>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</si>
  <si>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</si>
  <si>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</si>
  <si>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</si>
  <si>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</si>
  <si>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</si>
  <si>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</si>
  <si>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</si>
  <si>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</si>
  <si>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</si>
  <si>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</si>
  <si>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</si>
  <si>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</si>
  <si>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</si>
  <si>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</si>
  <si>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</si>
  <si>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</si>
  <si>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</si>
  <si>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</si>
  <si>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</si>
  <si>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</si>
  <si>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</si>
  <si>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</si>
  <si>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</si>
  <si>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</si>
  <si>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</si>
  <si>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</si>
  <si>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</si>
  <si>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</si>
  <si>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</si>
  <si>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</si>
  <si>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</si>
  <si>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</si>
  <si>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</si>
  <si>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</si>
  <si>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/>
  </si>
  <si>
    <t>&lt;&lt;油相合計&gt;&gt;</t>
  </si>
  <si>
    <t>水相（ｇ）</t>
  </si>
  <si>
    <t>油相（ｇ）</t>
  </si>
  <si>
    <t>仙川工場</t>
  </si>
  <si>
    <t>レベル量(ｇ)</t>
  </si>
  <si>
    <t>レベル量(g)</t>
  </si>
  <si>
    <t>挙母工場</t>
  </si>
  <si>
    <t>平均充填量(ｇ)</t>
  </si>
  <si>
    <t>平均充填量(g)</t>
  </si>
  <si>
    <t>伊丹工場</t>
  </si>
  <si>
    <t>比重加算量（ｇ）</t>
  </si>
  <si>
    <t>鳥栖工場</t>
  </si>
  <si>
    <t>有効歩留(％)</t>
  </si>
  <si>
    <t>五霞工場</t>
  </si>
  <si>
    <t>原料費</t>
  </si>
  <si>
    <t>中河原工場</t>
  </si>
  <si>
    <t>材料費</t>
  </si>
  <si>
    <t>泉佐野工場</t>
  </si>
  <si>
    <t>固定費</t>
  </si>
  <si>
    <t>階上工場</t>
  </si>
  <si>
    <t>原価計/ケース</t>
  </si>
  <si>
    <t>富士吉田工場</t>
  </si>
  <si>
    <t>工場未定/その他</t>
  </si>
  <si>
    <t>原価計/個</t>
  </si>
  <si>
    <t>粗利(％)</t>
  </si>
  <si>
    <t>材料費計/ケース</t>
  </si>
  <si>
    <t>　調味料</t>
    <rPh sb="1" eb="4">
      <t>チョウミリョウ</t>
    </rPh>
    <phoneticPr fontId="3"/>
  </si>
  <si>
    <t>品名:</t>
    <phoneticPr fontId="3"/>
  </si>
  <si>
    <t>【担当者】</t>
    <rPh sb="1" eb="4">
      <t>タントウシャ</t>
    </rPh>
    <phoneticPr fontId="3"/>
  </si>
  <si>
    <t>=黄色のセルは,工場にて変更しないで下さい。(枠外も入力不可)</t>
    <phoneticPr fontId="3"/>
  </si>
  <si>
    <t>(注)新規原料単価は、研究所記入単価を参考に試算願います。</t>
    <rPh sb="1" eb="2">
      <t>チュウ</t>
    </rPh>
    <rPh sb="3" eb="5">
      <t>シンキ</t>
    </rPh>
    <rPh sb="5" eb="7">
      <t>ゲンリョウ</t>
    </rPh>
    <rPh sb="7" eb="9">
      <t>タンカ</t>
    </rPh>
    <rPh sb="11" eb="14">
      <t>ケンキュウジョ</t>
    </rPh>
    <rPh sb="14" eb="16">
      <t>キニュウ</t>
    </rPh>
    <rPh sb="16" eb="18">
      <t>タンカ</t>
    </rPh>
    <rPh sb="19" eb="21">
      <t>サンコウ</t>
    </rPh>
    <rPh sb="22" eb="24">
      <t>シサン</t>
    </rPh>
    <rPh sb="24" eb="25">
      <t>ネガ</t>
    </rPh>
    <phoneticPr fontId="3"/>
  </si>
  <si>
    <t>研究所</t>
    <rPh sb="0" eb="3">
      <t>ケンキュウジョ</t>
    </rPh>
    <phoneticPr fontId="3"/>
  </si>
  <si>
    <t>営業</t>
    <rPh sb="0" eb="2">
      <t>エイギョウ</t>
    </rPh>
    <phoneticPr fontId="3"/>
  </si>
  <si>
    <t>生産管理部</t>
    <rPh sb="0" eb="2">
      <t>セイサン</t>
    </rPh>
    <rPh sb="2" eb="4">
      <t>カンリ</t>
    </rPh>
    <rPh sb="4" eb="5">
      <t>ブ</t>
    </rPh>
    <phoneticPr fontId="3"/>
  </si>
  <si>
    <t>工場</t>
    <rPh sb="0" eb="2">
      <t>コウジョウ</t>
    </rPh>
    <phoneticPr fontId="3"/>
  </si>
  <si>
    <t>=生管・工場修正入力部分</t>
    <rPh sb="1" eb="3">
      <t>セイカン</t>
    </rPh>
    <rPh sb="4" eb="6">
      <t>コウジョウ</t>
    </rPh>
    <rPh sb="6" eb="8">
      <t>シュウセイ</t>
    </rPh>
    <phoneticPr fontId="3"/>
  </si>
  <si>
    <t>(注)工場新規の場合は、どこの工場の単価を入力したか、備考にご記入願います。</t>
    <rPh sb="1" eb="2">
      <t>チュウ</t>
    </rPh>
    <rPh sb="3" eb="5">
      <t>コウジョウ</t>
    </rPh>
    <rPh sb="5" eb="7">
      <t>シンキ</t>
    </rPh>
    <rPh sb="8" eb="10">
      <t>バアイ</t>
    </rPh>
    <rPh sb="15" eb="17">
      <t>コウジョウ</t>
    </rPh>
    <rPh sb="18" eb="20">
      <t>タンカ</t>
    </rPh>
    <rPh sb="21" eb="23">
      <t>ニュウリョク</t>
    </rPh>
    <rPh sb="27" eb="29">
      <t>ビコウ</t>
    </rPh>
    <rPh sb="31" eb="33">
      <t>キニュウ</t>
    </rPh>
    <rPh sb="33" eb="34">
      <t>ネガ</t>
    </rPh>
    <phoneticPr fontId="3"/>
  </si>
  <si>
    <r>
      <t>(注)変更点は、</t>
    </r>
    <r>
      <rPr>
        <sz val="11"/>
        <color indexed="10"/>
        <rFont val="ＭＳ Ｐゴシック"/>
        <family val="3"/>
        <charset val="128"/>
      </rPr>
      <t>研究所＝</t>
    </r>
    <r>
      <rPr>
        <b/>
        <sz val="12"/>
        <color indexed="10"/>
        <rFont val="ＭＳ Ｐゴシック"/>
        <family val="3"/>
        <charset val="128"/>
      </rPr>
      <t>赤文字</t>
    </r>
    <r>
      <rPr>
        <sz val="11"/>
        <rFont val="ＭＳ Ｐゴシック"/>
        <family val="3"/>
        <charset val="128"/>
      </rPr>
      <t>、</t>
    </r>
    <r>
      <rPr>
        <sz val="11"/>
        <color indexed="12"/>
        <rFont val="ＭＳ Ｐゴシック"/>
        <family val="3"/>
        <charset val="128"/>
      </rPr>
      <t>工場＝</t>
    </r>
    <r>
      <rPr>
        <b/>
        <sz val="12"/>
        <color indexed="12"/>
        <rFont val="ＭＳ Ｐゴシック"/>
        <family val="3"/>
        <charset val="128"/>
      </rPr>
      <t>青文字</t>
    </r>
    <r>
      <rPr>
        <sz val="11"/>
        <rFont val="ＭＳ Ｐゴシック"/>
        <family val="3"/>
        <charset val="128"/>
      </rPr>
      <t>にて修正ください。</t>
    </r>
    <rPh sb="8" eb="11">
      <t>ケンキュウジョ</t>
    </rPh>
    <rPh sb="12" eb="13">
      <t>アカ</t>
    </rPh>
    <rPh sb="13" eb="15">
      <t>モジ</t>
    </rPh>
    <rPh sb="16" eb="18">
      <t>コウジョウ</t>
    </rPh>
    <rPh sb="19" eb="20">
      <t>アオ</t>
    </rPh>
    <rPh sb="20" eb="22">
      <t>モジ</t>
    </rPh>
    <rPh sb="24" eb="26">
      <t>シュウセイ</t>
    </rPh>
    <phoneticPr fontId="3"/>
  </si>
  <si>
    <t>(注)試算結果は必ず、工場から研究所・生産管理部の各担当者までご返信願います。</t>
    <rPh sb="1" eb="2">
      <t>チュウ</t>
    </rPh>
    <rPh sb="11" eb="13">
      <t>コウジョウ</t>
    </rPh>
    <rPh sb="25" eb="29">
      <t>カクタントウシャ</t>
    </rPh>
    <phoneticPr fontId="3"/>
  </si>
  <si>
    <r>
      <t>(注)配合の項目は、全部で1</t>
    </r>
    <r>
      <rPr>
        <sz val="11"/>
        <rFont val="ＭＳ Ｐゴシック"/>
        <family val="3"/>
        <charset val="128"/>
      </rPr>
      <t>30行</t>
    </r>
    <r>
      <rPr>
        <sz val="11"/>
        <rFont val="ＭＳ Ｐゴシック"/>
        <family val="3"/>
        <charset val="128"/>
      </rPr>
      <t>あります。必要に応じて、セルを再表示してご使用ください。</t>
    </r>
    <rPh sb="1" eb="2">
      <t>チュウ</t>
    </rPh>
    <rPh sb="3" eb="5">
      <t>ハイゴウ</t>
    </rPh>
    <rPh sb="6" eb="8">
      <t>コウモク</t>
    </rPh>
    <rPh sb="10" eb="12">
      <t>ゼンブ</t>
    </rPh>
    <rPh sb="16" eb="17">
      <t>ギョウ</t>
    </rPh>
    <rPh sb="22" eb="24">
      <t>ヒツヨウ</t>
    </rPh>
    <rPh sb="25" eb="26">
      <t>オウ</t>
    </rPh>
    <rPh sb="32" eb="35">
      <t>サイヒョウジ</t>
    </rPh>
    <rPh sb="38" eb="40">
      <t>シヨウ</t>
    </rPh>
    <phoneticPr fontId="3"/>
  </si>
  <si>
    <t xml:space="preserve">     他ファイルと連動しておりますので、行・列の挿入・削除はしないでください。</t>
    <rPh sb="5" eb="6">
      <t>ホカ</t>
    </rPh>
    <rPh sb="11" eb="13">
      <t>レンドウ</t>
    </rPh>
    <rPh sb="22" eb="23">
      <t>ギョウ</t>
    </rPh>
    <rPh sb="24" eb="25">
      <t>レツ</t>
    </rPh>
    <rPh sb="26" eb="28">
      <t>ソウニュウ</t>
    </rPh>
    <rPh sb="29" eb="31">
      <t>サクジョ</t>
    </rPh>
    <phoneticPr fontId="3"/>
  </si>
  <si>
    <t>新規</t>
    <rPh sb="0" eb="2">
      <t>シンキ</t>
    </rPh>
    <phoneticPr fontId="3"/>
  </si>
  <si>
    <t>品コード</t>
    <phoneticPr fontId="3"/>
  </si>
  <si>
    <t>原材料名</t>
    <phoneticPr fontId="3"/>
  </si>
  <si>
    <t>単価</t>
    <phoneticPr fontId="3"/>
  </si>
  <si>
    <t>歩留</t>
    <rPh sb="0" eb="2">
      <t>ブド</t>
    </rPh>
    <phoneticPr fontId="3"/>
  </si>
  <si>
    <t>原料情報</t>
    <rPh sb="0" eb="2">
      <t>ゲンリョウ</t>
    </rPh>
    <rPh sb="2" eb="4">
      <t>ジョウホウ</t>
    </rPh>
    <phoneticPr fontId="3"/>
  </si>
  <si>
    <t>原料</t>
    <phoneticPr fontId="3"/>
  </si>
  <si>
    <t>（統一コード）</t>
    <phoneticPr fontId="3"/>
  </si>
  <si>
    <t>(円)</t>
    <phoneticPr fontId="3"/>
  </si>
  <si>
    <t>配合(㎏)</t>
    <phoneticPr fontId="3"/>
  </si>
  <si>
    <t>小計(円)</t>
    <rPh sb="3" eb="4">
      <t>エン</t>
    </rPh>
    <phoneticPr fontId="3"/>
  </si>
  <si>
    <t>(工程略図、特徴、拘り、注意点など)</t>
    <rPh sb="1" eb="3">
      <t>コウテイ</t>
    </rPh>
    <rPh sb="3" eb="5">
      <t>リャクズ</t>
    </rPh>
    <rPh sb="6" eb="8">
      <t>トクチョウ</t>
    </rPh>
    <rPh sb="9" eb="10">
      <t>コダワ</t>
    </rPh>
    <rPh sb="12" eb="15">
      <t>チュウイテン</t>
    </rPh>
    <phoneticPr fontId="3"/>
  </si>
  <si>
    <t>工程１</t>
    <rPh sb="0" eb="2">
      <t>コウテイ</t>
    </rPh>
    <phoneticPr fontId="3"/>
  </si>
  <si>
    <t>&lt;&lt;殺菌調味液&gt;&gt;</t>
    <rPh sb="2" eb="4">
      <t>サッキン</t>
    </rPh>
    <rPh sb="4" eb="6">
      <t>チョウミ</t>
    </rPh>
    <rPh sb="6" eb="7">
      <t>エキ</t>
    </rPh>
    <phoneticPr fontId="3"/>
  </si>
  <si>
    <t>1</t>
    <phoneticPr fontId="3"/>
  </si>
  <si>
    <t>&lt;&lt;工程１合計／殺菌調味液合計&gt;&gt;</t>
    <phoneticPr fontId="3"/>
  </si>
  <si>
    <t>工程２</t>
    <phoneticPr fontId="3"/>
  </si>
  <si>
    <t>&lt;&lt;水相&gt;&gt;</t>
    <rPh sb="2" eb="3">
      <t>スイ</t>
    </rPh>
    <rPh sb="3" eb="4">
      <t>ソウ</t>
    </rPh>
    <phoneticPr fontId="3"/>
  </si>
  <si>
    <t>40</t>
    <phoneticPr fontId="3"/>
  </si>
  <si>
    <t>77</t>
    <phoneticPr fontId="3"/>
  </si>
  <si>
    <t>原価試算</t>
    <rPh sb="0" eb="2">
      <t>ゲンカ</t>
    </rPh>
    <rPh sb="2" eb="4">
      <t>シサン</t>
    </rPh>
    <phoneticPr fontId="3"/>
  </si>
  <si>
    <t>比重</t>
    <rPh sb="0" eb="2">
      <t>ヒジュウ</t>
    </rPh>
    <phoneticPr fontId="3"/>
  </si>
  <si>
    <t>注：レベル量(ｇ)：「内容量(ml)×荷姿×１(g/ml)(←固定)」又は「内容量(g)×荷姿」</t>
    <rPh sb="5" eb="6">
      <t>リョウ</t>
    </rPh>
    <phoneticPr fontId="3"/>
  </si>
  <si>
    <t>注：平均充填量(ｇ)：「内容量(ml)×荷姿×１(g/ml)(←固定)」+ｵｰﾊﾞｰﾊﾟｯｸ分１(g/ml)(←固定)×1又は「内容量(g)×荷姿」+ｵｰﾊﾞｰﾊﾟｯｸ分(ｇ)</t>
    <rPh sb="2" eb="4">
      <t>ヘイキン</t>
    </rPh>
    <rPh sb="4" eb="6">
      <t>ジュウテン</t>
    </rPh>
    <rPh sb="6" eb="7">
      <t>リョウ</t>
    </rPh>
    <rPh sb="46" eb="47">
      <t>ブン</t>
    </rPh>
    <rPh sb="84" eb="85">
      <t>ブン</t>
    </rPh>
    <phoneticPr fontId="3"/>
  </si>
  <si>
    <t>製造工場</t>
    <rPh sb="0" eb="2">
      <t>セイゾウ</t>
    </rPh>
    <rPh sb="2" eb="4">
      <t>コウジョウ</t>
    </rPh>
    <phoneticPr fontId="3"/>
  </si>
  <si>
    <t>殺菌方法</t>
    <rPh sb="0" eb="2">
      <t>サッキン</t>
    </rPh>
    <rPh sb="2" eb="4">
      <t>ホウホウ</t>
    </rPh>
    <phoneticPr fontId="3"/>
  </si>
  <si>
    <t>取扱温度</t>
    <rPh sb="0" eb="2">
      <t>トリアツカ</t>
    </rPh>
    <rPh sb="2" eb="4">
      <t>オンド</t>
    </rPh>
    <phoneticPr fontId="3"/>
  </si>
  <si>
    <t>原料費/ケース</t>
    <phoneticPr fontId="3"/>
  </si>
  <si>
    <t>容器・包材</t>
    <rPh sb="0" eb="2">
      <t>ヨウキ</t>
    </rPh>
    <rPh sb="3" eb="5">
      <t>ホウザイ</t>
    </rPh>
    <phoneticPr fontId="3"/>
  </si>
  <si>
    <t>材料費/ケース</t>
    <phoneticPr fontId="3"/>
  </si>
  <si>
    <t>荷姿</t>
    <rPh sb="0" eb="1">
      <t>ニ</t>
    </rPh>
    <rPh sb="1" eb="2">
      <t>スガタ</t>
    </rPh>
    <phoneticPr fontId="3"/>
  </si>
  <si>
    <t>固定費/ケース</t>
    <phoneticPr fontId="3"/>
  </si>
  <si>
    <t>内容量（ｍｌ/ｇ）</t>
    <rPh sb="0" eb="1">
      <t>ナイ</t>
    </rPh>
    <rPh sb="1" eb="3">
      <t>ヨウリョウ</t>
    </rPh>
    <phoneticPr fontId="3"/>
  </si>
  <si>
    <t>入り数</t>
    <rPh sb="0" eb="1">
      <t>イ</t>
    </rPh>
    <rPh sb="2" eb="3">
      <t>スウ</t>
    </rPh>
    <phoneticPr fontId="3"/>
  </si>
  <si>
    <t>≪参考：個あたり≫</t>
    <rPh sb="1" eb="3">
      <t>サンコウ</t>
    </rPh>
    <rPh sb="4" eb="5">
      <t>コ</t>
    </rPh>
    <phoneticPr fontId="3"/>
  </si>
  <si>
    <t>賞味期間</t>
    <rPh sb="0" eb="2">
      <t>ショウミ</t>
    </rPh>
    <rPh sb="2" eb="4">
      <t>キカン</t>
    </rPh>
    <phoneticPr fontId="3"/>
  </si>
  <si>
    <t>原価計/個</t>
    <phoneticPr fontId="3"/>
  </si>
  <si>
    <t>≪参考：ＫＧあたり≫</t>
    <rPh sb="1" eb="3">
      <t>サンコウ</t>
    </rPh>
    <phoneticPr fontId="3"/>
  </si>
  <si>
    <t>原料費/ＫＧ</t>
    <phoneticPr fontId="3"/>
  </si>
  <si>
    <t>固定費/ＫＧ</t>
    <phoneticPr fontId="3"/>
  </si>
  <si>
    <t>原価計/ＫＧ</t>
    <phoneticPr fontId="3"/>
  </si>
  <si>
    <t>対象工場</t>
    <rPh sb="0" eb="2">
      <t>タイショウ</t>
    </rPh>
    <rPh sb="2" eb="4">
      <t>コウジョウ</t>
    </rPh>
    <phoneticPr fontId="3"/>
  </si>
  <si>
    <t>品ｺｰﾄﾞ</t>
    <rPh sb="0" eb="1">
      <t>ヒン</t>
    </rPh>
    <phoneticPr fontId="3"/>
  </si>
  <si>
    <t>品名</t>
    <rPh sb="0" eb="2">
      <t>ヒンメイ</t>
    </rPh>
    <phoneticPr fontId="3"/>
  </si>
  <si>
    <t>単価</t>
    <rPh sb="0" eb="2">
      <t>タンカ</t>
    </rPh>
    <phoneticPr fontId="3"/>
  </si>
  <si>
    <t>歩留</t>
    <rPh sb="0" eb="2">
      <t>ブドマリ</t>
    </rPh>
    <phoneticPr fontId="3"/>
  </si>
  <si>
    <t>使用量/ｹｰｽ</t>
    <rPh sb="0" eb="3">
      <t>シヨウリョウ</t>
    </rPh>
    <phoneticPr fontId="3"/>
  </si>
  <si>
    <t>資材費/ｹｰｽ</t>
    <rPh sb="0" eb="2">
      <t>シザイ</t>
    </rPh>
    <rPh sb="2" eb="3">
      <t>ヒ</t>
    </rPh>
    <phoneticPr fontId="3"/>
  </si>
  <si>
    <t>配合(㎏)</t>
    <phoneticPr fontId="3"/>
  </si>
  <si>
    <t>(新規原料はわかれば規格書コードを入力)</t>
    <phoneticPr fontId="3"/>
  </si>
  <si>
    <t>材料費/ＫＧ</t>
    <phoneticPr fontId="3"/>
  </si>
  <si>
    <t>製造工場　　　　　</t>
    <phoneticPr fontId="3"/>
  </si>
  <si>
    <t>原料確認用</t>
    <phoneticPr fontId="3"/>
  </si>
  <si>
    <t>調味料</t>
    <phoneticPr fontId="3"/>
  </si>
  <si>
    <t>品名:</t>
    <phoneticPr fontId="3"/>
  </si>
  <si>
    <t>(注)テキストファイルにて更新した場合、原料情報(I,J列)は更新されませんのでご了承ください。</t>
    <phoneticPr fontId="3"/>
  </si>
  <si>
    <t>※原料の使用見込みを確認する際にご使用ください。</t>
    <phoneticPr fontId="3"/>
  </si>
  <si>
    <t>新規</t>
    <phoneticPr fontId="3"/>
  </si>
  <si>
    <t>品コード</t>
    <phoneticPr fontId="3"/>
  </si>
  <si>
    <t>原材料名</t>
    <phoneticPr fontId="3"/>
  </si>
  <si>
    <t>サンプル№</t>
    <phoneticPr fontId="3"/>
  </si>
  <si>
    <t>原料</t>
    <phoneticPr fontId="3"/>
  </si>
  <si>
    <t>（統一コード）</t>
    <phoneticPr fontId="3"/>
  </si>
  <si>
    <t>工程１</t>
    <phoneticPr fontId="3"/>
  </si>
  <si>
    <t>&lt;&lt;殺菌調味液&gt;&gt;</t>
    <phoneticPr fontId="3"/>
  </si>
  <si>
    <t>&lt;&lt;工程１合計／殺菌調味液合計&gt;&gt;</t>
    <phoneticPr fontId="3"/>
  </si>
  <si>
    <t>工程２</t>
    <phoneticPr fontId="3"/>
  </si>
  <si>
    <t>&lt;&lt;水相&gt;&gt;</t>
    <phoneticPr fontId="3"/>
  </si>
  <si>
    <t>&lt;&lt;合計／水相合計&gt;&gt;</t>
    <phoneticPr fontId="3"/>
  </si>
  <si>
    <t>&lt;&lt;ドレ２液油相&gt;&gt;</t>
    <phoneticPr fontId="3"/>
  </si>
  <si>
    <t>&lt;&lt;油相合計&gt;&gt;</t>
    <phoneticPr fontId="3"/>
  </si>
  <si>
    <t>IR＠</t>
    <phoneticPr fontId="3"/>
  </si>
  <si>
    <t>原料費/ＫＧ</t>
    <phoneticPr fontId="3"/>
  </si>
  <si>
    <t>材料費/ＫＧ</t>
    <phoneticPr fontId="3"/>
  </si>
  <si>
    <t>固定費/ＫＧ</t>
    <phoneticPr fontId="3"/>
  </si>
  <si>
    <t>原価計/ＫＧ</t>
    <phoneticPr fontId="3"/>
  </si>
  <si>
    <t>製造ロット</t>
    <rPh sb="0" eb="2">
      <t>セイゾウ</t>
    </rPh>
    <phoneticPr fontId="3"/>
  </si>
  <si>
    <t>想定物量</t>
    <rPh sb="0" eb="2">
      <t>ソウテイ</t>
    </rPh>
    <rPh sb="2" eb="4">
      <t>ブツリョウ</t>
    </rPh>
    <phoneticPr fontId="3"/>
  </si>
  <si>
    <t>発売時期</t>
    <rPh sb="0" eb="2">
      <t>ハツバイ</t>
    </rPh>
    <rPh sb="2" eb="4">
      <t>ジキ</t>
    </rPh>
    <phoneticPr fontId="3"/>
  </si>
  <si>
    <t>販売期間</t>
    <rPh sb="0" eb="2">
      <t>ハンバイ</t>
    </rPh>
    <rPh sb="2" eb="4">
      <t>キカン</t>
    </rPh>
    <phoneticPr fontId="3"/>
  </si>
  <si>
    <t>希望原価</t>
    <rPh sb="0" eb="2">
      <t>キボウ</t>
    </rPh>
    <rPh sb="2" eb="4">
      <t>ゲンカ</t>
    </rPh>
    <phoneticPr fontId="3"/>
  </si>
  <si>
    <t>希望特約</t>
    <rPh sb="0" eb="2">
      <t>キボウ</t>
    </rPh>
    <rPh sb="2" eb="4">
      <t>トクヤク</t>
    </rPh>
    <phoneticPr fontId="3"/>
  </si>
  <si>
    <t>≪基本情報≫</t>
    <rPh sb="1" eb="3">
      <t>キホン</t>
    </rPh>
    <rPh sb="3" eb="5">
      <t>ジョウホウ</t>
    </rPh>
    <phoneticPr fontId="3"/>
  </si>
  <si>
    <t>≪資材情報≫</t>
    <rPh sb="1" eb="3">
      <t>シザイ</t>
    </rPh>
    <rPh sb="3" eb="5">
      <t>ジョウホウ</t>
    </rPh>
    <phoneticPr fontId="3"/>
  </si>
  <si>
    <t>希望特約</t>
  </si>
  <si>
    <t>希望特約</t>
    <phoneticPr fontId="3"/>
  </si>
  <si>
    <t>　レベル１</t>
    <phoneticPr fontId="3"/>
  </si>
  <si>
    <t>製品情報</t>
    <phoneticPr fontId="3"/>
  </si>
  <si>
    <t>メモ</t>
    <phoneticPr fontId="3"/>
  </si>
  <si>
    <t>原価試算メモ</t>
    <rPh sb="0" eb="2">
      <t>ゲンカ</t>
    </rPh>
    <rPh sb="2" eb="4">
      <t>シサン</t>
    </rPh>
    <phoneticPr fontId="3"/>
  </si>
  <si>
    <t>(営業用)</t>
    <rPh sb="1" eb="4">
      <t>エイギョウヨウ</t>
    </rPh>
    <phoneticPr fontId="3"/>
  </si>
  <si>
    <t>試作品テーブル.会社コード、部署コードで部署名を出力</t>
    <rPh sb="0" eb="3">
      <t>シサクヒン</t>
    </rPh>
    <rPh sb="8" eb="10">
      <t>カイシャ</t>
    </rPh>
    <rPh sb="14" eb="16">
      <t>ブショ</t>
    </rPh>
    <rPh sb="20" eb="22">
      <t>ブショ</t>
    </rPh>
    <rPh sb="22" eb="23">
      <t>メイ</t>
    </rPh>
    <rPh sb="24" eb="26">
      <t>シュツリョク</t>
    </rPh>
    <phoneticPr fontId="3"/>
  </si>
  <si>
    <t>試算試作品テーブル.発売時期</t>
    <rPh sb="0" eb="2">
      <t>シサン</t>
    </rPh>
    <rPh sb="2" eb="5">
      <t>シサクヒン</t>
    </rPh>
    <rPh sb="10" eb="12">
      <t>ハツバイ</t>
    </rPh>
    <rPh sb="12" eb="14">
      <t>ジキ</t>
    </rPh>
    <phoneticPr fontId="3"/>
  </si>
  <si>
    <t>試算試作品テーブル.販売課期間(通年orスポット)(hanbai_kikan_tani)+販売期間+販売期間(単位)(hanbai_kikan_tani)</t>
    <rPh sb="0" eb="2">
      <t>シサン</t>
    </rPh>
    <rPh sb="2" eb="5">
      <t>シサクヒン</t>
    </rPh>
    <rPh sb="10" eb="13">
      <t>ハンバイカ</t>
    </rPh>
    <rPh sb="13" eb="15">
      <t>キカン</t>
    </rPh>
    <rPh sb="16" eb="18">
      <t>ツウネン</t>
    </rPh>
    <rPh sb="45" eb="47">
      <t>ハンバイ</t>
    </rPh>
    <rPh sb="47" eb="49">
      <t>キカン</t>
    </rPh>
    <rPh sb="50" eb="52">
      <t>ハンバイ</t>
    </rPh>
    <rPh sb="52" eb="54">
      <t>キカン</t>
    </rPh>
    <rPh sb="55" eb="57">
      <t>タンイ</t>
    </rPh>
    <phoneticPr fontId="3"/>
  </si>
  <si>
    <t>製品_サンプルNo1</t>
    <rPh sb="0" eb="2">
      <t>セイヒン</t>
    </rPh>
    <phoneticPr fontId="3"/>
  </si>
  <si>
    <t>製品_工程版No1</t>
    <rPh sb="3" eb="5">
      <t>コウテイ</t>
    </rPh>
    <rPh sb="5" eb="6">
      <t>ハン</t>
    </rPh>
    <phoneticPr fontId="3"/>
  </si>
  <si>
    <t>製品_注意事項1</t>
    <rPh sb="0" eb="2">
      <t>セイヒン</t>
    </rPh>
    <rPh sb="3" eb="5">
      <t>チュウイ</t>
    </rPh>
    <rPh sb="5" eb="7">
      <t>ジコウ</t>
    </rPh>
    <phoneticPr fontId="3"/>
  </si>
  <si>
    <t>製品_サンプルNo2</t>
    <rPh sb="0" eb="2">
      <t>セイヒン</t>
    </rPh>
    <phoneticPr fontId="3"/>
  </si>
  <si>
    <t>製品_工程版No2</t>
    <rPh sb="3" eb="5">
      <t>コウテイ</t>
    </rPh>
    <rPh sb="5" eb="6">
      <t>ハン</t>
    </rPh>
    <phoneticPr fontId="3"/>
  </si>
  <si>
    <t>製品_注意事項2</t>
    <rPh sb="0" eb="2">
      <t>セイヒン</t>
    </rPh>
    <rPh sb="3" eb="5">
      <t>チュウイ</t>
    </rPh>
    <rPh sb="5" eb="7">
      <t>ジコウ</t>
    </rPh>
    <phoneticPr fontId="3"/>
  </si>
  <si>
    <t>製品_サンプルNo3</t>
    <rPh sb="0" eb="2">
      <t>セイヒン</t>
    </rPh>
    <phoneticPr fontId="3"/>
  </si>
  <si>
    <t>製品_工程版No3</t>
    <rPh sb="3" eb="5">
      <t>コウテイ</t>
    </rPh>
    <rPh sb="5" eb="6">
      <t>ハン</t>
    </rPh>
    <phoneticPr fontId="3"/>
  </si>
  <si>
    <t>製品_注意事項3</t>
    <rPh sb="0" eb="2">
      <t>セイヒン</t>
    </rPh>
    <rPh sb="3" eb="5">
      <t>チュウイ</t>
    </rPh>
    <rPh sb="5" eb="7">
      <t>ジコウ</t>
    </rPh>
    <phoneticPr fontId="3"/>
  </si>
  <si>
    <t>原価試算メモ(営業用)</t>
    <rPh sb="0" eb="2">
      <t>ゲンカ</t>
    </rPh>
    <rPh sb="2" eb="4">
      <t>シサン</t>
    </rPh>
    <rPh sb="7" eb="10">
      <t>エイギョウヨウ</t>
    </rPh>
    <phoneticPr fontId="3"/>
  </si>
  <si>
    <t>試作名           ：</t>
    <rPh sb="0" eb="2">
      <t>シサク</t>
    </rPh>
    <rPh sb="2" eb="3">
      <t>メイ</t>
    </rPh>
    <phoneticPr fontId="3"/>
  </si>
  <si>
    <t xml:space="preserve">原価計　円/個 </t>
    <phoneticPr fontId="3"/>
  </si>
  <si>
    <t>荷姿　 　 　　　　　</t>
    <phoneticPr fontId="3"/>
  </si>
  <si>
    <t>資材仕様</t>
    <phoneticPr fontId="3"/>
  </si>
  <si>
    <t>取扱温度　　　　　</t>
    <phoneticPr fontId="3"/>
  </si>
  <si>
    <t>製造ロット　</t>
    <rPh sb="0" eb="2">
      <t>セイゾウ</t>
    </rPh>
    <phoneticPr fontId="3"/>
  </si>
  <si>
    <t>※今期末立上がり商品まで、有効な価格です。</t>
    <rPh sb="1" eb="3">
      <t>コンキ</t>
    </rPh>
    <rPh sb="3" eb="4">
      <t>スエ</t>
    </rPh>
    <rPh sb="4" eb="6">
      <t>タチアゲ</t>
    </rPh>
    <rPh sb="8" eb="10">
      <t>ショウヒン</t>
    </rPh>
    <rPh sb="13" eb="15">
      <t>ユウコウ</t>
    </rPh>
    <rPh sb="16" eb="18">
      <t>カカク</t>
    </rPh>
    <phoneticPr fontId="3"/>
  </si>
  <si>
    <t>※新年度立ち上げの場合は、価格変更が発生する可能性がありますので、ご注意ください。</t>
    <rPh sb="1" eb="4">
      <t>シンネンド</t>
    </rPh>
    <rPh sb="4" eb="5">
      <t>タ</t>
    </rPh>
    <rPh sb="6" eb="7">
      <t>ア</t>
    </rPh>
    <rPh sb="9" eb="11">
      <t>バアイ</t>
    </rPh>
    <rPh sb="13" eb="15">
      <t>カカク</t>
    </rPh>
    <rPh sb="15" eb="17">
      <t>ヘンコウ</t>
    </rPh>
    <rPh sb="18" eb="20">
      <t>ハッセイ</t>
    </rPh>
    <rPh sb="22" eb="25">
      <t>カノウセイ</t>
    </rPh>
    <rPh sb="34" eb="36">
      <t>チュウイ</t>
    </rPh>
    <phoneticPr fontId="3"/>
  </si>
  <si>
    <t>※想定物量・発売時期・発売期間に変更がある場合は、ご連絡願います。</t>
    <rPh sb="1" eb="3">
      <t>ソウテイ</t>
    </rPh>
    <rPh sb="3" eb="5">
      <t>ブツリョウ</t>
    </rPh>
    <rPh sb="6" eb="8">
      <t>ハツバイ</t>
    </rPh>
    <rPh sb="8" eb="10">
      <t>ジキ</t>
    </rPh>
    <rPh sb="11" eb="13">
      <t>ハツバイ</t>
    </rPh>
    <rPh sb="13" eb="15">
      <t>キカン</t>
    </rPh>
    <rPh sb="16" eb="18">
      <t>ヘンコウ</t>
    </rPh>
    <rPh sb="21" eb="23">
      <t>バアイ</t>
    </rPh>
    <rPh sb="26" eb="28">
      <t>レンラク</t>
    </rPh>
    <rPh sb="28" eb="29">
      <t>ネガ</t>
    </rPh>
    <phoneticPr fontId="3"/>
  </si>
  <si>
    <t>≪計算項目≫</t>
    <rPh sb="1" eb="3">
      <t>ケイサン</t>
    </rPh>
    <rPh sb="3" eb="5">
      <t>コウモク</t>
    </rPh>
    <phoneticPr fontId="3"/>
  </si>
  <si>
    <t>試作テーブル.サンプルNO（名称</t>
    <phoneticPr fontId="3"/>
  </si>
  <si>
    <t>履歴テーブルよりデータを取得する事が必要。</t>
    <rPh sb="0" eb="2">
      <t>リレキ</t>
    </rPh>
    <rPh sb="12" eb="14">
      <t>シュトク</t>
    </rPh>
    <rPh sb="16" eb="17">
      <t>コト</t>
    </rPh>
    <rPh sb="18" eb="20">
      <t>ヒツヨウ</t>
    </rPh>
    <phoneticPr fontId="3"/>
  </si>
  <si>
    <t>工場</t>
    <phoneticPr fontId="3"/>
  </si>
  <si>
    <t>試算試作品テーブル.原価</t>
    <rPh sb="0" eb="2">
      <t>シサン</t>
    </rPh>
    <rPh sb="2" eb="5">
      <t>シサクヒン</t>
    </rPh>
    <rPh sb="10" eb="12">
      <t>ゲンカ</t>
    </rPh>
    <phoneticPr fontId="3"/>
  </si>
  <si>
    <t>原価単位(K_tani_genka)</t>
    <rPh sb="0" eb="2">
      <t>ゲンカ</t>
    </rPh>
    <rPh sb="2" eb="4">
      <t>タンイ</t>
    </rPh>
    <phoneticPr fontId="3"/>
  </si>
  <si>
    <t>試算試作品テーブル.売価</t>
    <rPh sb="0" eb="2">
      <t>シサン</t>
    </rPh>
    <rPh sb="2" eb="5">
      <t>シサクヒン</t>
    </rPh>
    <rPh sb="10" eb="12">
      <t>バイカ</t>
    </rPh>
    <phoneticPr fontId="3"/>
  </si>
  <si>
    <t>初回納品時期</t>
    <rPh sb="0" eb="2">
      <t>ショカイ</t>
    </rPh>
    <rPh sb="2" eb="4">
      <t>ノウヒン</t>
    </rPh>
    <rPh sb="4" eb="6">
      <t>ジキ</t>
    </rPh>
    <phoneticPr fontId="3"/>
  </si>
  <si>
    <t>想定物量(kg) 　　</t>
    <phoneticPr fontId="3"/>
  </si>
  <si>
    <t>原料使用見込み</t>
    <rPh sb="0" eb="2">
      <t>ゲンリョウ</t>
    </rPh>
    <phoneticPr fontId="3"/>
  </si>
  <si>
    <t>代入</t>
    <rPh sb="0" eb="2">
      <t>ダイニュウ</t>
    </rPh>
    <phoneticPr fontId="3"/>
  </si>
  <si>
    <t>原価試算(生産）</t>
    <rPh sb="0" eb="2">
      <t>ゲンカ</t>
    </rPh>
    <rPh sb="2" eb="4">
      <t>シサン</t>
    </rPh>
    <rPh sb="5" eb="7">
      <t>セイサン</t>
    </rPh>
    <phoneticPr fontId="3"/>
  </si>
  <si>
    <t>(注)原料使用見込みは歩留を加味しておりませんので、概算数量としてご参照ください。</t>
    <rPh sb="3" eb="5">
      <t>ゲンリョウ</t>
    </rPh>
    <rPh sb="5" eb="7">
      <t>シヨウ</t>
    </rPh>
    <rPh sb="7" eb="9">
      <t>ミコ</t>
    </rPh>
    <rPh sb="11" eb="13">
      <t>ブドマリ</t>
    </rPh>
    <rPh sb="14" eb="16">
      <t>カミ</t>
    </rPh>
    <rPh sb="26" eb="28">
      <t>ガイサン</t>
    </rPh>
    <rPh sb="28" eb="30">
      <t>スウリョウ</t>
    </rPh>
    <rPh sb="34" eb="36">
      <t>サンショウ</t>
    </rPh>
    <phoneticPr fontId="3"/>
  </si>
  <si>
    <t>製造ロット1</t>
    <rPh sb="0" eb="2">
      <t>セイゾウ</t>
    </rPh>
    <phoneticPr fontId="3"/>
  </si>
  <si>
    <t>製造ロット2</t>
    <rPh sb="0" eb="2">
      <t>セイゾウ</t>
    </rPh>
    <phoneticPr fontId="3"/>
  </si>
  <si>
    <t>製造ロット3</t>
    <rPh sb="0" eb="2">
      <t>セイゾウ</t>
    </rPh>
    <phoneticPr fontId="3"/>
  </si>
  <si>
    <t>想定物量単位1</t>
    <rPh sb="0" eb="2">
      <t>ソウテイ</t>
    </rPh>
    <rPh sb="2" eb="4">
      <t>ブツリョウ</t>
    </rPh>
    <rPh sb="4" eb="6">
      <t>タンイ</t>
    </rPh>
    <phoneticPr fontId="3"/>
  </si>
  <si>
    <t>想定物量単位2</t>
    <rPh sb="0" eb="2">
      <t>ソウテイ</t>
    </rPh>
    <rPh sb="2" eb="4">
      <t>ブツリョウ</t>
    </rPh>
    <rPh sb="4" eb="6">
      <t>タンイ</t>
    </rPh>
    <phoneticPr fontId="3"/>
  </si>
  <si>
    <t>想定物量単位3</t>
    <rPh sb="0" eb="2">
      <t>ソウテイ</t>
    </rPh>
    <rPh sb="2" eb="4">
      <t>ブツリョウ</t>
    </rPh>
    <rPh sb="4" eb="6">
      <t>タンイ</t>
    </rPh>
    <phoneticPr fontId="3"/>
  </si>
  <si>
    <t>想定物量1</t>
    <phoneticPr fontId="3"/>
  </si>
  <si>
    <t>想定物量2</t>
    <phoneticPr fontId="3"/>
  </si>
  <si>
    <t>想定物量3</t>
    <phoneticPr fontId="3"/>
  </si>
  <si>
    <t>発売時期1</t>
    <rPh sb="0" eb="2">
      <t>ハツバイ</t>
    </rPh>
    <rPh sb="2" eb="4">
      <t>ジキ</t>
    </rPh>
    <phoneticPr fontId="3"/>
  </si>
  <si>
    <t>発売時期2</t>
    <rPh sb="0" eb="2">
      <t>ハツバイ</t>
    </rPh>
    <rPh sb="2" eb="4">
      <t>ジキ</t>
    </rPh>
    <phoneticPr fontId="3"/>
  </si>
  <si>
    <t>発売時期3</t>
    <rPh sb="0" eb="2">
      <t>ハツバイ</t>
    </rPh>
    <rPh sb="2" eb="4">
      <t>ジキ</t>
    </rPh>
    <phoneticPr fontId="3"/>
  </si>
  <si>
    <t>売価1</t>
    <phoneticPr fontId="3"/>
  </si>
  <si>
    <t>売価2</t>
    <phoneticPr fontId="3"/>
  </si>
  <si>
    <t>売価3</t>
    <phoneticPr fontId="3"/>
  </si>
  <si>
    <t>希望原価1</t>
    <phoneticPr fontId="3"/>
  </si>
  <si>
    <t>希望原価2</t>
    <phoneticPr fontId="3"/>
  </si>
  <si>
    <t>希望原価3</t>
    <phoneticPr fontId="3"/>
  </si>
  <si>
    <t>販売期間1</t>
    <rPh sb="0" eb="2">
      <t>ハンバイ</t>
    </rPh>
    <rPh sb="2" eb="4">
      <t>キカン</t>
    </rPh>
    <phoneticPr fontId="3"/>
  </si>
  <si>
    <t>販売期間2</t>
    <rPh sb="0" eb="2">
      <t>ハンバイ</t>
    </rPh>
    <rPh sb="2" eb="4">
      <t>キカン</t>
    </rPh>
    <phoneticPr fontId="3"/>
  </si>
  <si>
    <t>販売期間3</t>
    <rPh sb="0" eb="2">
      <t>ハンバイ</t>
    </rPh>
    <rPh sb="2" eb="4">
      <t>キカン</t>
    </rPh>
    <phoneticPr fontId="3"/>
  </si>
  <si>
    <t>原価単位1</t>
    <rPh sb="0" eb="2">
      <t>ゲンカ</t>
    </rPh>
    <rPh sb="2" eb="4">
      <t>タンイ</t>
    </rPh>
    <phoneticPr fontId="3"/>
  </si>
  <si>
    <t>原価単位2</t>
    <rPh sb="0" eb="2">
      <t>ゲンカ</t>
    </rPh>
    <rPh sb="2" eb="4">
      <t>タンイ</t>
    </rPh>
    <phoneticPr fontId="3"/>
  </si>
  <si>
    <t>原価単位3</t>
    <rPh sb="0" eb="2">
      <t>ゲンカ</t>
    </rPh>
    <rPh sb="2" eb="4">
      <t>タンイ</t>
    </rPh>
    <phoneticPr fontId="3"/>
  </si>
  <si>
    <t>売価単位1</t>
    <rPh sb="0" eb="2">
      <t>バイカ</t>
    </rPh>
    <rPh sb="2" eb="4">
      <t>タンイ</t>
    </rPh>
    <phoneticPr fontId="3"/>
  </si>
  <si>
    <t>売価単位2</t>
    <rPh sb="0" eb="2">
      <t>バイカ</t>
    </rPh>
    <rPh sb="2" eb="4">
      <t>タンイ</t>
    </rPh>
    <phoneticPr fontId="3"/>
  </si>
  <si>
    <t>売価単位3</t>
    <rPh sb="0" eb="2">
      <t>バイカ</t>
    </rPh>
    <rPh sb="2" eb="4">
      <t>タンイ</t>
    </rPh>
    <phoneticPr fontId="3"/>
  </si>
  <si>
    <t>粗利(％)</t>
    <phoneticPr fontId="3"/>
  </si>
  <si>
    <t>固定項目用 20140121追加</t>
    <rPh sb="0" eb="2">
      <t>コテイ</t>
    </rPh>
    <rPh sb="2" eb="4">
      <t>コウモク</t>
    </rPh>
    <rPh sb="4" eb="5">
      <t>ヨウ</t>
    </rPh>
    <rPh sb="14" eb="16">
      <t>ツイカ</t>
    </rPh>
    <phoneticPr fontId="3"/>
  </si>
  <si>
    <t>レベル量(ｇ)1</t>
  </si>
  <si>
    <t>原料費/ケース2</t>
  </si>
  <si>
    <t>原料費/ケース1</t>
  </si>
  <si>
    <t>材料費/ケース1</t>
  </si>
  <si>
    <t>原価計/ケース1</t>
  </si>
  <si>
    <t>原価計/個1</t>
  </si>
  <si>
    <t>原料費/ＫＧ1</t>
  </si>
  <si>
    <t>材料費/ＫＧ1</t>
  </si>
  <si>
    <t>固定費/ＫＧ1</t>
  </si>
  <si>
    <t>原価計/ＫＧ1</t>
  </si>
  <si>
    <t>粗利(％)1</t>
  </si>
  <si>
    <t>レベル量(ｇ)2</t>
  </si>
  <si>
    <t>材料費/ケース2</t>
  </si>
  <si>
    <t>原価計/ケース2</t>
  </si>
  <si>
    <t>原価計/個2</t>
  </si>
  <si>
    <t>原料費/ＫＧ2</t>
  </si>
  <si>
    <t>材料費/ＫＧ2</t>
  </si>
  <si>
    <t>固定費/ＫＧ2</t>
  </si>
  <si>
    <t>原価計/ＫＧ2</t>
  </si>
  <si>
    <t>粗利(％)2</t>
  </si>
  <si>
    <t>レベル量(ｇ)3</t>
  </si>
  <si>
    <t>原料費/ケース3</t>
  </si>
  <si>
    <t>材料費/ケース3</t>
  </si>
  <si>
    <t>原価計/ケース3</t>
  </si>
  <si>
    <t>原価計/個3</t>
  </si>
  <si>
    <t>原料費/ＫＧ3</t>
  </si>
  <si>
    <t>材料費/ＫＧ3</t>
  </si>
  <si>
    <t>固定費/ＫＧ3</t>
  </si>
  <si>
    <t>原価計/ＫＧ3</t>
  </si>
  <si>
    <t>粗利(％)3</t>
  </si>
  <si>
    <t>比重加算量（ｇ）1</t>
    <phoneticPr fontId="3"/>
  </si>
  <si>
    <t>比重加算量（ｇ）2</t>
    <phoneticPr fontId="3"/>
  </si>
  <si>
    <t>比重加算量（ｇ）3</t>
    <phoneticPr fontId="3"/>
  </si>
  <si>
    <t>試算日</t>
    <rPh sb="0" eb="2">
      <t>シサン</t>
    </rPh>
    <rPh sb="2" eb="3">
      <t>ビ</t>
    </rPh>
    <phoneticPr fontId="3"/>
  </si>
  <si>
    <t>試算日</t>
    <rPh sb="0" eb="3">
      <t>シサンビ</t>
    </rPh>
    <phoneticPr fontId="3"/>
  </si>
  <si>
    <t>試算日1</t>
    <rPh sb="0" eb="2">
      <t>シサン</t>
    </rPh>
    <rPh sb="2" eb="3">
      <t>ビ</t>
    </rPh>
    <phoneticPr fontId="3"/>
  </si>
  <si>
    <t>試算日2</t>
    <rPh sb="0" eb="2">
      <t>シサン</t>
    </rPh>
    <rPh sb="2" eb="3">
      <t>ビ</t>
    </rPh>
    <phoneticPr fontId="3"/>
  </si>
  <si>
    <t>試算日3</t>
    <rPh sb="0" eb="2">
      <t>シサン</t>
    </rPh>
    <rPh sb="2" eb="3">
      <t>ビ</t>
    </rPh>
    <phoneticPr fontId="3"/>
  </si>
  <si>
    <t>固定項目用 20140407追加</t>
    <rPh sb="0" eb="2">
      <t>コテイ</t>
    </rPh>
    <rPh sb="2" eb="4">
      <t>コウモク</t>
    </rPh>
    <rPh sb="4" eb="5">
      <t>ヨウ</t>
    </rPh>
    <rPh sb="14" eb="16">
      <t>ツイカ</t>
    </rPh>
    <phoneticPr fontId="3"/>
  </si>
  <si>
    <t>希望特約1</t>
  </si>
  <si>
    <t>希望特約2</t>
  </si>
  <si>
    <t>希望特約3</t>
  </si>
  <si>
    <t>項目固定チェック1</t>
    <rPh sb="0" eb="2">
      <t>コウモク</t>
    </rPh>
    <rPh sb="2" eb="4">
      <t>コテイ</t>
    </rPh>
    <phoneticPr fontId="3"/>
  </si>
  <si>
    <t>項目固定チェック2</t>
    <rPh sb="0" eb="2">
      <t>コウモク</t>
    </rPh>
    <rPh sb="2" eb="4">
      <t>コテイ</t>
    </rPh>
    <phoneticPr fontId="3"/>
  </si>
  <si>
    <t>項目固定チェック3</t>
    <rPh sb="0" eb="2">
      <t>コウモク</t>
    </rPh>
    <rPh sb="2" eb="4">
      <t>コテイ</t>
    </rPh>
    <phoneticPr fontId="3"/>
  </si>
  <si>
    <t>注：比重加算量（ｇ）：標準原価（イントラの原価計算入力システム）の平均充填量欄とイコールの数値になります。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</si>
</sst>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76" formatCode="0.00_);[Red]\(0.00\)"/>
    <numFmt numFmtId="177" formatCode="0.00_ "/>
    <numFmt numFmtId="178" formatCode="0.0000_ "/>
    <numFmt numFmtId="179" formatCode="0.0%"/>
    <numFmt numFmtId="180" formatCode="0_ "/>
    <numFmt numFmtId="181" formatCode="0.000000_);[Red]\(0.000000\)"/>
    <numFmt numFmtId="182" formatCode="0.00_ ;[Red]\-0.00\ "/>
    <numFmt numFmtId="183" formatCode="#,##0&quot;㎏&quot;"/>
    <numFmt numFmtId="184" formatCode="yymmdd"/>
    <numFmt numFmtId="185" formatCode="#,##0_);[Red]\(#,##0\)"/>
    <numFmt numFmtId="186" formatCode="0_ ;[Red]\-0\ "/>
    <numFmt numFmtId="187" formatCode="0.000_ ;[Red]\-0.000\ "/>
    <numFmt numFmtId="188" formatCode="&quot;サンプル№&quot;0"/>
    <numFmt numFmtId="189" formatCode="#,##0.00&quot;円/個&quot;"/>
    <numFmt numFmtId="190" formatCode="#,##0&quot;cs/月&quot;"/>
    <numFmt numFmtId="191" formatCode="#,###,###.###&quot;kg&quot;"/>
  </numFmts>
  <fonts count="4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ＭＳ Ｐゴシック"/>
      <family val="1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22"/>
      <color indexed="9"/>
      <name val="HGｺﾞｼｯｸE"/>
      <family val="3"/>
      <charset val="128"/>
    </font>
    <font>
      <sz val="18"/>
      <color indexed="62"/>
      <name val="HGｺﾞｼｯｸE"/>
      <family val="3"/>
      <charset val="128"/>
    </font>
    <font>
      <b/>
      <u/>
      <sz val="16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color indexed="9"/>
      <name val="ＭＳ Ｐゴシック"/>
      <family val="3"/>
      <charset val="128"/>
    </font>
    <font>
      <sz val="22"/>
      <color indexed="9"/>
      <name val="HG創英角ｺﾞｼｯｸUB"/>
      <family val="3"/>
      <charset val="128"/>
    </font>
    <font>
      <b/>
      <sz val="15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24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u/>
      <sz val="13"/>
      <color indexed="10"/>
      <name val="HG創英角ｺﾞｼｯｸUB"/>
      <family val="3"/>
      <charset val="128"/>
    </font>
    <font>
      <b/>
      <sz val="12"/>
      <color indexed="12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8"/>
      <color indexed="9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b/>
      <sz val="8"/>
      <color indexed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12"/>
      <color indexed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2"/>
      <color indexed="81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indexed="10"/>
      <name val="ＭＳ Ｐ明朝"/>
      <family val="1"/>
      <charset val="128"/>
    </font>
    <font>
      <sz val="10"/>
      <color indexed="14"/>
      <name val="ＭＳ Ｐ明朝"/>
      <family val="1"/>
      <charset val="128"/>
    </font>
    <font>
      <sz val="10"/>
      <color indexed="1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</fills>
  <borders count="1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Dashed">
        <color indexed="64"/>
      </bottom>
      <diagonal/>
    </border>
    <border>
      <left/>
      <right/>
      <top style="dott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dotted">
        <color indexed="64"/>
      </bottom>
      <diagonal/>
    </border>
    <border>
      <left/>
      <right/>
      <top style="mediumDashed">
        <color indexed="64"/>
      </top>
      <bottom style="dott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DashDot">
        <color indexed="64"/>
      </bottom>
      <diagonal/>
    </border>
    <border>
      <left/>
      <right/>
      <top style="dotted">
        <color indexed="64"/>
      </top>
      <bottom style="mediumDashDot">
        <color indexed="64"/>
      </bottom>
      <diagonal/>
    </border>
    <border>
      <left/>
      <right style="medium">
        <color indexed="64"/>
      </right>
      <top style="dotted">
        <color indexed="64"/>
      </top>
      <bottom style="mediumDashDot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DashDot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DashDot">
        <color indexed="64"/>
      </bottom>
      <diagonal/>
    </border>
    <border>
      <left style="medium">
        <color indexed="64"/>
      </left>
      <right/>
      <top style="mediumDashDot">
        <color indexed="64"/>
      </top>
      <bottom style="dotted">
        <color indexed="64"/>
      </bottom>
      <diagonal/>
    </border>
    <border>
      <left/>
      <right/>
      <top style="mediumDashDot">
        <color indexed="64"/>
      </top>
      <bottom style="dotted">
        <color indexed="64"/>
      </bottom>
      <diagonal/>
    </border>
    <border>
      <left/>
      <right style="medium">
        <color indexed="64"/>
      </right>
      <top style="mediumDashDot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DashDot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DashDot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DashDot">
        <color indexed="64"/>
      </bottom>
      <diagonal/>
    </border>
    <border>
      <left style="thin">
        <color indexed="64"/>
      </left>
      <right/>
      <top style="mediumDashDot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5" fillId="0" borderId="0"/>
    <xf numFmtId="0" fontId="6" fillId="0" borderId="0"/>
  </cellStyleXfs>
  <cellXfs count="486">
    <xf numFmtId="0" fontId="0" fillId="0" borderId="0" xfId="0"/>
    <xf numFmtId="0" fontId="0" fillId="0" borderId="0" xfId="0" applyAlignment="1" applyProtection="1">
      <alignment shrinkToFit="1"/>
    </xf>
    <xf numFmtId="49" fontId="4" fillId="0" borderId="0" xfId="0" applyNumberFormat="1" applyFont="1" applyAlignment="1" applyProtection="1">
      <alignment horizontal="center" shrinkToFit="1"/>
    </xf>
    <xf numFmtId="49" fontId="4" fillId="0" borderId="0" xfId="0" applyNumberFormat="1" applyFont="1" applyAlignment="1" applyProtection="1">
      <alignment shrinkToFit="1"/>
    </xf>
    <xf numFmtId="0" fontId="7" fillId="0" borderId="0" xfId="3" applyFont="1"/>
    <xf numFmtId="0" fontId="7" fillId="2" borderId="1" xfId="3" applyFont="1" applyFill="1" applyBorder="1" applyAlignment="1">
      <alignment horizontal="center"/>
    </xf>
    <xf numFmtId="0" fontId="8" fillId="2" borderId="1" xfId="3" applyFont="1" applyFill="1" applyBorder="1" applyAlignment="1">
      <alignment horizontal="center"/>
    </xf>
    <xf numFmtId="0" fontId="7" fillId="0" borderId="1" xfId="3" applyFont="1" applyBorder="1"/>
    <xf numFmtId="0" fontId="8" fillId="0" borderId="1" xfId="3" applyFont="1" applyFill="1" applyBorder="1" applyAlignment="1"/>
    <xf numFmtId="0" fontId="8" fillId="0" borderId="1" xfId="3" applyFont="1" applyFill="1" applyBorder="1"/>
    <xf numFmtId="49" fontId="9" fillId="3" borderId="0" xfId="0" applyNumberFormat="1" applyFont="1" applyFill="1" applyAlignment="1" applyProtection="1">
      <alignment horizontal="center" vertical="center" shrinkToFit="1"/>
    </xf>
    <xf numFmtId="49" fontId="9" fillId="3" borderId="0" xfId="0" applyNumberFormat="1" applyFont="1" applyFill="1" applyAlignment="1" applyProtection="1">
      <alignment horizontal="left" vertical="center"/>
    </xf>
    <xf numFmtId="0" fontId="10" fillId="0" borderId="0" xfId="0" applyFont="1" applyFill="1" applyAlignment="1" applyProtection="1">
      <alignment horizontal="left" vertical="center" shrinkToFit="1"/>
    </xf>
    <xf numFmtId="0" fontId="11" fillId="0" borderId="0" xfId="0" applyFont="1" applyFill="1" applyAlignment="1" applyProtection="1">
      <alignment horizontal="right" shrinkToFit="1"/>
    </xf>
    <xf numFmtId="0" fontId="12" fillId="0" borderId="2" xfId="0" applyNumberFormat="1" applyFont="1" applyFill="1" applyBorder="1" applyAlignment="1" applyProtection="1">
      <alignment horizontal="center"/>
    </xf>
    <xf numFmtId="0" fontId="13" fillId="0" borderId="0" xfId="0" applyFont="1" applyAlignment="1" applyProtection="1">
      <alignment horizontal="right" shrinkToFit="1"/>
    </xf>
    <xf numFmtId="184" fontId="14" fillId="0" borderId="0" xfId="0" applyNumberFormat="1" applyFont="1" applyBorder="1" applyAlignment="1" applyProtection="1">
      <alignment horizontal="right" shrinkToFit="1"/>
    </xf>
    <xf numFmtId="0" fontId="0" fillId="0" borderId="0" xfId="0" applyBorder="1" applyAlignment="1" applyProtection="1">
      <alignment shrinkToFit="1"/>
    </xf>
    <xf numFmtId="31" fontId="0" fillId="0" borderId="0" xfId="0" applyNumberFormat="1" applyAlignment="1" applyProtection="1">
      <alignment horizontal="right" vertical="center"/>
    </xf>
    <xf numFmtId="0" fontId="15" fillId="4" borderId="0" xfId="0" applyFont="1" applyFill="1" applyBorder="1" applyAlignment="1" applyProtection="1">
      <alignment horizontal="center" vertical="center"/>
    </xf>
    <xf numFmtId="0" fontId="16" fillId="0" borderId="3" xfId="0" applyFont="1" applyBorder="1" applyAlignment="1" applyProtection="1">
      <alignment horizontal="right"/>
    </xf>
    <xf numFmtId="0" fontId="17" fillId="5" borderId="3" xfId="0" applyFont="1" applyFill="1" applyBorder="1" applyAlignment="1" applyProtection="1">
      <alignment horizontal="left"/>
      <protection locked="0"/>
    </xf>
    <xf numFmtId="0" fontId="16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left" shrinkToFit="1"/>
    </xf>
    <xf numFmtId="0" fontId="18" fillId="0" borderId="0" xfId="0" applyFont="1" applyBorder="1" applyAlignment="1" applyProtection="1">
      <alignment horizontal="center" shrinkToFit="1"/>
    </xf>
    <xf numFmtId="0" fontId="19" fillId="0" borderId="0" xfId="0" applyFont="1" applyBorder="1" applyAlignment="1" applyProtection="1">
      <alignment horizontal="center"/>
    </xf>
    <xf numFmtId="0" fontId="16" fillId="0" borderId="0" xfId="0" applyFont="1" applyAlignment="1" applyProtection="1">
      <alignment shrinkToFit="1"/>
    </xf>
    <xf numFmtId="0" fontId="20" fillId="0" borderId="0" xfId="0" applyFont="1" applyAlignment="1" applyProtection="1">
      <alignment shrinkToFit="1"/>
    </xf>
    <xf numFmtId="0" fontId="21" fillId="0" borderId="0" xfId="0" applyFont="1" applyFill="1" applyBorder="1" applyAlignment="1" applyProtection="1"/>
    <xf numFmtId="0" fontId="22" fillId="0" borderId="0" xfId="0" applyFont="1" applyFill="1" applyBorder="1" applyAlignment="1" applyProtection="1">
      <alignment horizontal="left" vertical="center"/>
    </xf>
    <xf numFmtId="0" fontId="23" fillId="0" borderId="0" xfId="0" applyFont="1" applyFill="1" applyBorder="1" applyAlignment="1" applyProtection="1"/>
    <xf numFmtId="0" fontId="24" fillId="0" borderId="0" xfId="0" applyFont="1" applyFill="1" applyBorder="1" applyAlignment="1" applyProtection="1">
      <alignment horizontal="center" vertical="center" shrinkToFit="1"/>
    </xf>
    <xf numFmtId="0" fontId="0" fillId="0" borderId="0" xfId="0" applyAlignment="1" applyProtection="1">
      <alignment horizontal="right" shrinkToFit="1"/>
    </xf>
    <xf numFmtId="0" fontId="0" fillId="0" borderId="0" xfId="0" applyFill="1" applyAlignment="1" applyProtection="1"/>
    <xf numFmtId="0" fontId="25" fillId="0" borderId="0" xfId="0" applyFont="1" applyFill="1" applyAlignment="1" applyProtection="1">
      <alignment shrinkToFit="1"/>
    </xf>
    <xf numFmtId="0" fontId="20" fillId="0" borderId="0" xfId="0" applyFont="1" applyFill="1" applyAlignment="1" applyProtection="1"/>
    <xf numFmtId="0" fontId="26" fillId="5" borderId="4" xfId="0" applyFont="1" applyFill="1" applyBorder="1" applyAlignment="1" applyProtection="1">
      <alignment shrinkToFit="1"/>
    </xf>
    <xf numFmtId="0" fontId="2" fillId="0" borderId="0" xfId="0" quotePrefix="1" applyFont="1" applyAlignment="1" applyProtection="1"/>
    <xf numFmtId="0" fontId="20" fillId="0" borderId="0" xfId="0" applyFont="1" applyAlignment="1" applyProtection="1">
      <alignment horizontal="left"/>
    </xf>
    <xf numFmtId="0" fontId="27" fillId="0" borderId="0" xfId="0" applyFont="1" applyBorder="1" applyAlignment="1" applyProtection="1"/>
    <xf numFmtId="0" fontId="28" fillId="0" borderId="0" xfId="0" applyFont="1" applyAlignment="1" applyProtection="1">
      <alignment horizontal="center" shrinkToFit="1"/>
    </xf>
    <xf numFmtId="0" fontId="19" fillId="0" borderId="0" xfId="0" applyFont="1" applyAlignment="1" applyProtection="1">
      <alignment shrinkToFit="1"/>
    </xf>
    <xf numFmtId="0" fontId="19" fillId="0" borderId="0" xfId="0" applyFont="1" applyFill="1" applyAlignment="1" applyProtection="1"/>
    <xf numFmtId="0" fontId="26" fillId="0" borderId="5" xfId="0" applyFont="1" applyFill="1" applyBorder="1" applyAlignment="1" applyProtection="1">
      <alignment shrinkToFit="1"/>
    </xf>
    <xf numFmtId="0" fontId="0" fillId="0" borderId="0" xfId="0" applyFill="1" applyAlignment="1" applyProtection="1">
      <alignment shrinkToFit="1"/>
    </xf>
    <xf numFmtId="0" fontId="2" fillId="0" borderId="0" xfId="0" quotePrefix="1" applyFont="1" applyFill="1" applyAlignment="1" applyProtection="1"/>
    <xf numFmtId="0" fontId="20" fillId="0" borderId="0" xfId="0" applyFont="1" applyFill="1" applyAlignment="1" applyProtection="1">
      <alignment horizontal="left"/>
    </xf>
    <xf numFmtId="0" fontId="28" fillId="0" borderId="0" xfId="0" applyFont="1" applyFill="1" applyAlignment="1" applyProtection="1">
      <alignment horizontal="center" shrinkToFit="1"/>
    </xf>
    <xf numFmtId="0" fontId="2" fillId="0" borderId="0" xfId="0" applyFont="1" applyFill="1" applyAlignment="1" applyProtection="1">
      <alignment shrinkToFit="1"/>
    </xf>
    <xf numFmtId="0" fontId="2" fillId="0" borderId="0" xfId="0" applyFont="1" applyFill="1" applyAlignment="1" applyProtection="1"/>
    <xf numFmtId="0" fontId="2" fillId="6" borderId="4" xfId="0" applyFont="1" applyFill="1" applyBorder="1" applyAlignment="1" applyProtection="1"/>
    <xf numFmtId="0" fontId="29" fillId="0" borderId="0" xfId="0" quotePrefix="1" applyFont="1" applyAlignment="1" applyProtection="1"/>
    <xf numFmtId="0" fontId="2" fillId="0" borderId="0" xfId="0" applyFont="1" applyBorder="1" applyAlignment="1" applyProtection="1"/>
    <xf numFmtId="0" fontId="19" fillId="0" borderId="0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left" wrapText="1"/>
    </xf>
    <xf numFmtId="0" fontId="19" fillId="0" borderId="0" xfId="0" applyFont="1" applyBorder="1" applyAlignment="1" applyProtection="1">
      <alignment horizontal="left" wrapText="1"/>
    </xf>
    <xf numFmtId="0" fontId="19" fillId="6" borderId="2" xfId="0" applyFont="1" applyFill="1" applyBorder="1" applyAlignment="1" applyProtection="1">
      <alignment horizontal="left" shrinkToFit="1"/>
      <protection locked="0"/>
    </xf>
    <xf numFmtId="0" fontId="26" fillId="0" borderId="0" xfId="0" applyFont="1" applyFill="1" applyBorder="1" applyAlignment="1" applyProtection="1">
      <alignment shrinkToFit="1"/>
    </xf>
    <xf numFmtId="0" fontId="20" fillId="0" borderId="0" xfId="0" applyFont="1" applyBorder="1" applyAlignment="1" applyProtection="1">
      <alignment horizontal="left"/>
    </xf>
    <xf numFmtId="0" fontId="33" fillId="0" borderId="0" xfId="0" applyFont="1" applyBorder="1" applyAlignment="1" applyProtection="1">
      <alignment horizontal="center" shrinkToFit="1"/>
    </xf>
    <xf numFmtId="0" fontId="27" fillId="0" borderId="0" xfId="0" applyFont="1" applyAlignment="1" applyProtection="1">
      <alignment shrinkToFit="1"/>
    </xf>
    <xf numFmtId="0" fontId="0" fillId="0" borderId="0" xfId="0" applyBorder="1" applyAlignment="1" applyProtection="1">
      <alignment horizontal="left" wrapText="1" shrinkToFit="1"/>
    </xf>
    <xf numFmtId="0" fontId="0" fillId="0" borderId="0" xfId="0" applyFill="1" applyBorder="1" applyAlignment="1" applyProtection="1">
      <alignment shrinkToFit="1"/>
    </xf>
    <xf numFmtId="0" fontId="32" fillId="0" borderId="0" xfId="0" applyFont="1" applyAlignment="1" applyProtection="1">
      <alignment horizontal="center"/>
    </xf>
    <xf numFmtId="14" fontId="32" fillId="0" borderId="0" xfId="0" applyNumberFormat="1" applyFont="1" applyAlignment="1" applyProtection="1">
      <alignment horizontal="left"/>
    </xf>
    <xf numFmtId="0" fontId="0" fillId="0" borderId="0" xfId="0" applyFill="1" applyBorder="1" applyAlignment="1" applyProtection="1"/>
    <xf numFmtId="0" fontId="0" fillId="0" borderId="0" xfId="0" applyAlignment="1" applyProtection="1"/>
    <xf numFmtId="31" fontId="32" fillId="0" borderId="0" xfId="0" applyNumberFormat="1" applyFont="1" applyAlignment="1" applyProtection="1"/>
    <xf numFmtId="49" fontId="34" fillId="5" borderId="6" xfId="0" applyNumberFormat="1" applyFont="1" applyFill="1" applyBorder="1" applyAlignment="1" applyProtection="1">
      <alignment horizontal="center" shrinkToFit="1"/>
    </xf>
    <xf numFmtId="49" fontId="34" fillId="5" borderId="7" xfId="0" applyNumberFormat="1" applyFont="1" applyFill="1" applyBorder="1" applyAlignment="1" applyProtection="1">
      <alignment horizontal="center" wrapText="1" shrinkToFit="1"/>
    </xf>
    <xf numFmtId="0" fontId="20" fillId="5" borderId="7" xfId="0" applyFont="1" applyFill="1" applyBorder="1" applyAlignment="1" applyProtection="1">
      <alignment horizontal="center" wrapText="1" shrinkToFit="1"/>
    </xf>
    <xf numFmtId="0" fontId="20" fillId="5" borderId="7" xfId="0" applyFont="1" applyFill="1" applyBorder="1" applyAlignment="1" applyProtection="1">
      <alignment horizontal="center" shrinkToFit="1"/>
    </xf>
    <xf numFmtId="0" fontId="20" fillId="5" borderId="8" xfId="0" applyFont="1" applyFill="1" applyBorder="1" applyAlignment="1" applyProtection="1">
      <alignment horizontal="center" wrapText="1" shrinkToFit="1"/>
    </xf>
    <xf numFmtId="0" fontId="20" fillId="5" borderId="9" xfId="0" applyFont="1" applyFill="1" applyBorder="1" applyAlignment="1" applyProtection="1">
      <alignment horizontal="center" shrinkToFit="1"/>
    </xf>
    <xf numFmtId="0" fontId="20" fillId="5" borderId="10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 vertical="center" shrinkToFit="1"/>
    </xf>
    <xf numFmtId="0" fontId="35" fillId="7" borderId="11" xfId="0" applyFont="1" applyFill="1" applyBorder="1" applyAlignment="1" applyProtection="1">
      <alignment horizontal="center" vertical="center"/>
    </xf>
    <xf numFmtId="0" fontId="35" fillId="7" borderId="12" xfId="0" applyFont="1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 shrinkToFit="1"/>
    </xf>
    <xf numFmtId="0" fontId="0" fillId="7" borderId="13" xfId="0" applyFill="1" applyBorder="1" applyAlignment="1" applyProtection="1">
      <alignment horizontal="center" vertical="center" shrinkToFit="1"/>
    </xf>
    <xf numFmtId="49" fontId="34" fillId="5" borderId="14" xfId="0" applyNumberFormat="1" applyFont="1" applyFill="1" applyBorder="1" applyAlignment="1" applyProtection="1">
      <alignment horizontal="center" vertical="top" shrinkToFit="1"/>
    </xf>
    <xf numFmtId="49" fontId="34" fillId="5" borderId="15" xfId="0" applyNumberFormat="1" applyFont="1" applyFill="1" applyBorder="1" applyAlignment="1" applyProtection="1">
      <alignment horizontal="center" vertical="top" wrapText="1" shrinkToFit="1"/>
    </xf>
    <xf numFmtId="0" fontId="20" fillId="5" borderId="15" xfId="0" applyFont="1" applyFill="1" applyBorder="1" applyAlignment="1" applyProtection="1">
      <alignment horizontal="center" vertical="top" shrinkToFit="1"/>
    </xf>
    <xf numFmtId="0" fontId="20" fillId="5" borderId="16" xfId="0" applyFont="1" applyFill="1" applyBorder="1" applyAlignment="1" applyProtection="1">
      <alignment horizontal="center" vertical="top" wrapText="1" shrinkToFit="1"/>
    </xf>
    <xf numFmtId="0" fontId="20" fillId="5" borderId="17" xfId="0" applyFont="1" applyFill="1" applyBorder="1" applyAlignment="1" applyProtection="1">
      <alignment horizontal="center" vertical="top" shrinkToFit="1"/>
    </xf>
    <xf numFmtId="0" fontId="20" fillId="5" borderId="18" xfId="0" applyFont="1" applyFill="1" applyBorder="1" applyAlignment="1" applyProtection="1">
      <alignment horizontal="center" vertical="top" shrinkToFit="1"/>
    </xf>
    <xf numFmtId="0" fontId="36" fillId="5" borderId="19" xfId="0" applyFont="1" applyFill="1" applyBorder="1" applyAlignment="1" applyProtection="1">
      <alignment horizontal="center" vertical="center"/>
    </xf>
    <xf numFmtId="0" fontId="35" fillId="7" borderId="20" xfId="0" applyFont="1" applyFill="1" applyBorder="1" applyAlignment="1" applyProtection="1">
      <alignment horizontal="center" vertical="center"/>
    </xf>
    <xf numFmtId="0" fontId="35" fillId="7" borderId="21" xfId="0" applyFont="1" applyFill="1" applyBorder="1" applyAlignment="1" applyProtection="1">
      <alignment horizontal="center" vertical="center"/>
    </xf>
    <xf numFmtId="0" fontId="0" fillId="7" borderId="21" xfId="0" applyFill="1" applyBorder="1" applyAlignment="1" applyProtection="1">
      <alignment horizontal="center" vertical="center" shrinkToFit="1"/>
    </xf>
    <xf numFmtId="0" fontId="0" fillId="7" borderId="22" xfId="0" applyFill="1" applyBorder="1" applyAlignment="1" applyProtection="1">
      <alignment horizontal="center" vertical="center" shrinkToFit="1"/>
    </xf>
    <xf numFmtId="49" fontId="4" fillId="5" borderId="23" xfId="0" applyNumberFormat="1" applyFont="1" applyFill="1" applyBorder="1" applyAlignment="1" applyProtection="1">
      <alignment horizontal="center" vertical="center" shrinkToFit="1"/>
    </xf>
    <xf numFmtId="49" fontId="4" fillId="5" borderId="24" xfId="0" applyNumberFormat="1" applyFont="1" applyFill="1" applyBorder="1" applyAlignment="1" applyProtection="1">
      <alignment horizontal="center" vertical="center" wrapText="1" shrinkToFit="1"/>
    </xf>
    <xf numFmtId="0" fontId="20" fillId="5" borderId="24" xfId="0" applyFont="1" applyFill="1" applyBorder="1" applyAlignment="1" applyProtection="1">
      <alignment horizontal="center" shrinkToFit="1"/>
    </xf>
    <xf numFmtId="176" fontId="2" fillId="5" borderId="24" xfId="0" applyNumberFormat="1" applyFont="1" applyFill="1" applyBorder="1" applyAlignment="1" applyProtection="1">
      <alignment horizontal="center" vertical="center" wrapText="1" shrinkToFit="1"/>
    </xf>
    <xf numFmtId="179" fontId="2" fillId="5" borderId="25" xfId="1" applyNumberFormat="1" applyFont="1" applyFill="1" applyBorder="1" applyAlignment="1" applyProtection="1">
      <alignment horizontal="center" vertical="center" shrinkToFit="1"/>
    </xf>
    <xf numFmtId="176" fontId="2" fillId="5" borderId="26" xfId="0" applyNumberFormat="1" applyFont="1" applyFill="1" applyBorder="1" applyAlignment="1" applyProtection="1">
      <alignment horizontal="center" vertical="center" shrinkToFit="1"/>
    </xf>
    <xf numFmtId="0" fontId="2" fillId="5" borderId="27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49" fontId="4" fillId="5" borderId="28" xfId="0" applyNumberFormat="1" applyFont="1" applyFill="1" applyBorder="1" applyAlignment="1" applyProtection="1">
      <alignment horizontal="center" shrinkToFit="1"/>
    </xf>
    <xf numFmtId="0" fontId="4" fillId="5" borderId="29" xfId="0" applyNumberFormat="1" applyFont="1" applyFill="1" applyBorder="1" applyAlignment="1" applyProtection="1">
      <alignment horizontal="center" shrinkToFit="1"/>
      <protection locked="0"/>
    </xf>
    <xf numFmtId="0" fontId="20" fillId="0" borderId="29" xfId="0" applyFont="1" applyFill="1" applyBorder="1" applyAlignment="1" applyProtection="1">
      <alignment horizontal="right" wrapText="1" shrinkToFit="1"/>
      <protection locked="0"/>
    </xf>
    <xf numFmtId="0" fontId="2" fillId="0" borderId="29" xfId="0" applyFont="1" applyFill="1" applyBorder="1" applyAlignment="1" applyProtection="1">
      <alignment horizontal="left" shrinkToFit="1"/>
      <protection locked="0"/>
    </xf>
    <xf numFmtId="182" fontId="2" fillId="6" borderId="30" xfId="0" applyNumberFormat="1" applyFont="1" applyFill="1" applyBorder="1" applyAlignment="1" applyProtection="1">
      <alignment horizontal="right" shrinkToFit="1"/>
      <protection locked="0"/>
    </xf>
    <xf numFmtId="179" fontId="2" fillId="6" borderId="31" xfId="1" applyNumberFormat="1" applyFont="1" applyFill="1" applyBorder="1" applyAlignment="1" applyProtection="1">
      <alignment horizontal="right" shrinkToFit="1"/>
      <protection locked="0"/>
    </xf>
    <xf numFmtId="182" fontId="2" fillId="5" borderId="32" xfId="2" applyNumberFormat="1" applyFont="1" applyFill="1" applyBorder="1" applyAlignment="1" applyProtection="1">
      <alignment horizontal="right" shrinkToFit="1"/>
    </xf>
    <xf numFmtId="0" fontId="2" fillId="6" borderId="33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</xf>
    <xf numFmtId="0" fontId="20" fillId="0" borderId="29" xfId="0" applyFont="1" applyFill="1" applyBorder="1" applyAlignment="1" applyProtection="1">
      <alignment horizontal="right" shrinkToFit="1"/>
      <protection locked="0"/>
    </xf>
    <xf numFmtId="49" fontId="4" fillId="8" borderId="34" xfId="0" applyNumberFormat="1" applyFont="1" applyFill="1" applyBorder="1" applyAlignment="1" applyProtection="1">
      <alignment horizontal="center" shrinkToFit="1"/>
    </xf>
    <xf numFmtId="0" fontId="4" fillId="8" borderId="35" xfId="0" applyNumberFormat="1" applyFont="1" applyFill="1" applyBorder="1" applyAlignment="1" applyProtection="1">
      <alignment horizontal="center" shrinkToFit="1"/>
    </xf>
    <xf numFmtId="0" fontId="20" fillId="8" borderId="35" xfId="0" applyFont="1" applyFill="1" applyBorder="1" applyAlignment="1" applyProtection="1">
      <alignment horizontal="right" shrinkToFit="1"/>
    </xf>
    <xf numFmtId="0" fontId="20" fillId="8" borderId="35" xfId="0" applyFont="1" applyFill="1" applyBorder="1" applyAlignment="1" applyProtection="1">
      <alignment horizontal="center" shrinkToFit="1"/>
    </xf>
    <xf numFmtId="182" fontId="20" fillId="8" borderId="35" xfId="0" applyNumberFormat="1" applyFont="1" applyFill="1" applyBorder="1" applyAlignment="1" applyProtection="1">
      <alignment horizontal="right" shrinkToFit="1"/>
    </xf>
    <xf numFmtId="179" fontId="20" fillId="8" borderId="36" xfId="1" applyNumberFormat="1" applyFont="1" applyFill="1" applyBorder="1" applyAlignment="1" applyProtection="1">
      <alignment horizontal="right" shrinkToFit="1"/>
    </xf>
    <xf numFmtId="182" fontId="20" fillId="8" borderId="37" xfId="2" applyNumberFormat="1" applyFont="1" applyFill="1" applyBorder="1" applyAlignment="1" applyProtection="1">
      <alignment horizontal="right" shrinkToFit="1"/>
    </xf>
    <xf numFmtId="10" fontId="2" fillId="6" borderId="38" xfId="1" applyNumberFormat="1" applyFont="1" applyFill="1" applyBorder="1" applyAlignment="1" applyProtection="1">
      <alignment horizontal="left"/>
      <protection locked="0"/>
    </xf>
    <xf numFmtId="10" fontId="2" fillId="0" borderId="0" xfId="1" applyNumberFormat="1" applyFont="1" applyFill="1" applyBorder="1" applyAlignment="1" applyProtection="1">
      <alignment horizontal="left"/>
    </xf>
    <xf numFmtId="49" fontId="4" fillId="5" borderId="39" xfId="0" applyNumberFormat="1" applyFont="1" applyFill="1" applyBorder="1" applyAlignment="1" applyProtection="1">
      <alignment horizontal="center" shrinkToFit="1"/>
    </xf>
    <xf numFmtId="0" fontId="4" fillId="5" borderId="40" xfId="0" applyNumberFormat="1" applyFont="1" applyFill="1" applyBorder="1" applyAlignment="1" applyProtection="1">
      <alignment horizontal="center" shrinkToFit="1"/>
    </xf>
    <xf numFmtId="0" fontId="20" fillId="5" borderId="40" xfId="0" applyFont="1" applyFill="1" applyBorder="1" applyAlignment="1" applyProtection="1">
      <alignment horizontal="center" shrinkToFit="1"/>
    </xf>
    <xf numFmtId="182" fontId="2" fillId="5" borderId="40" xfId="0" applyNumberFormat="1" applyFont="1" applyFill="1" applyBorder="1" applyAlignment="1" applyProtection="1">
      <alignment horizontal="right" shrinkToFit="1"/>
    </xf>
    <xf numFmtId="179" fontId="2" fillId="5" borderId="41" xfId="1" applyNumberFormat="1" applyFont="1" applyFill="1" applyBorder="1" applyAlignment="1" applyProtection="1">
      <alignment horizontal="right" shrinkToFit="1"/>
    </xf>
    <xf numFmtId="182" fontId="20" fillId="5" borderId="42" xfId="2" applyNumberFormat="1" applyFont="1" applyFill="1" applyBorder="1" applyAlignment="1" applyProtection="1">
      <alignment horizontal="right" shrinkToFit="1"/>
    </xf>
    <xf numFmtId="0" fontId="2" fillId="6" borderId="43" xfId="0" applyFont="1" applyFill="1" applyBorder="1" applyAlignment="1" applyProtection="1">
      <alignment horizontal="left"/>
      <protection locked="0"/>
    </xf>
    <xf numFmtId="49" fontId="4" fillId="5" borderId="44" xfId="0" applyNumberFormat="1" applyFont="1" applyFill="1" applyBorder="1" applyAlignment="1" applyProtection="1">
      <alignment horizontal="center" shrinkToFit="1"/>
    </xf>
    <xf numFmtId="0" fontId="4" fillId="5" borderId="45" xfId="0" applyNumberFormat="1" applyFont="1" applyFill="1" applyBorder="1" applyAlignment="1" applyProtection="1">
      <alignment horizontal="center" shrinkToFit="1"/>
      <protection locked="0"/>
    </xf>
    <xf numFmtId="0" fontId="20" fillId="0" borderId="45" xfId="0" applyFont="1" applyFill="1" applyBorder="1" applyAlignment="1" applyProtection="1">
      <alignment horizontal="right" shrinkToFit="1"/>
      <protection locked="0"/>
    </xf>
    <xf numFmtId="182" fontId="2" fillId="6" borderId="46" xfId="0" applyNumberFormat="1" applyFont="1" applyFill="1" applyBorder="1" applyAlignment="1" applyProtection="1">
      <alignment horizontal="right" shrinkToFit="1"/>
      <protection locked="0"/>
    </xf>
    <xf numFmtId="179" fontId="2" fillId="6" borderId="47" xfId="1" applyNumberFormat="1" applyFont="1" applyFill="1" applyBorder="1" applyAlignment="1" applyProtection="1">
      <alignment horizontal="right" shrinkToFit="1"/>
      <protection locked="0"/>
    </xf>
    <xf numFmtId="182" fontId="2" fillId="5" borderId="48" xfId="2" applyNumberFormat="1" applyFont="1" applyFill="1" applyBorder="1" applyAlignment="1" applyProtection="1">
      <alignment horizontal="right" shrinkToFit="1"/>
    </xf>
    <xf numFmtId="49" fontId="34" fillId="8" borderId="49" xfId="0" applyNumberFormat="1" applyFont="1" applyFill="1" applyBorder="1" applyAlignment="1" applyProtection="1">
      <alignment horizontal="center" shrinkToFit="1"/>
    </xf>
    <xf numFmtId="0" fontId="34" fillId="8" borderId="50" xfId="0" applyNumberFormat="1" applyFont="1" applyFill="1" applyBorder="1" applyAlignment="1" applyProtection="1">
      <alignment horizontal="center" shrinkToFit="1"/>
    </xf>
    <xf numFmtId="0" fontId="20" fillId="8" borderId="50" xfId="0" applyFont="1" applyFill="1" applyBorder="1" applyAlignment="1" applyProtection="1">
      <alignment horizontal="center" shrinkToFit="1"/>
    </xf>
    <xf numFmtId="182" fontId="20" fillId="8" borderId="50" xfId="0" applyNumberFormat="1" applyFont="1" applyFill="1" applyBorder="1" applyAlignment="1" applyProtection="1">
      <alignment horizontal="right" shrinkToFit="1"/>
    </xf>
    <xf numFmtId="179" fontId="20" fillId="8" borderId="51" xfId="1" applyNumberFormat="1" applyFont="1" applyFill="1" applyBorder="1" applyAlignment="1" applyProtection="1">
      <alignment horizontal="right" shrinkToFit="1"/>
    </xf>
    <xf numFmtId="182" fontId="20" fillId="8" borderId="52" xfId="2" applyNumberFormat="1" applyFont="1" applyFill="1" applyBorder="1" applyAlignment="1" applyProtection="1">
      <alignment horizontal="right" shrinkToFit="1"/>
    </xf>
    <xf numFmtId="0" fontId="20" fillId="6" borderId="53" xfId="0" applyFont="1" applyFill="1" applyBorder="1" applyAlignment="1" applyProtection="1">
      <alignment horizontal="left"/>
      <protection locked="0"/>
    </xf>
    <xf numFmtId="0" fontId="20" fillId="0" borderId="0" xfId="0" applyFont="1" applyFill="1" applyBorder="1" applyAlignment="1" applyProtection="1">
      <alignment horizontal="left"/>
    </xf>
    <xf numFmtId="49" fontId="4" fillId="5" borderId="54" xfId="0" applyNumberFormat="1" applyFont="1" applyFill="1" applyBorder="1" applyAlignment="1" applyProtection="1">
      <alignment horizontal="center" shrinkToFit="1"/>
    </xf>
    <xf numFmtId="0" fontId="4" fillId="5" borderId="55" xfId="0" applyNumberFormat="1" applyFont="1" applyFill="1" applyBorder="1" applyAlignment="1" applyProtection="1">
      <alignment horizontal="center" shrinkToFit="1"/>
    </xf>
    <xf numFmtId="0" fontId="20" fillId="5" borderId="55" xfId="0" applyFont="1" applyFill="1" applyBorder="1" applyAlignment="1" applyProtection="1">
      <alignment horizontal="center" shrinkToFit="1"/>
    </xf>
    <xf numFmtId="182" fontId="20" fillId="5" borderId="55" xfId="0" applyNumberFormat="1" applyFont="1" applyFill="1" applyBorder="1" applyAlignment="1" applyProtection="1">
      <alignment horizontal="right" shrinkToFit="1"/>
    </xf>
    <xf numFmtId="179" fontId="20" fillId="5" borderId="56" xfId="1" applyNumberFormat="1" applyFont="1" applyFill="1" applyBorder="1" applyAlignment="1" applyProtection="1">
      <alignment horizontal="right" shrinkToFit="1"/>
    </xf>
    <xf numFmtId="182" fontId="20" fillId="5" borderId="57" xfId="2" applyNumberFormat="1" applyFont="1" applyFill="1" applyBorder="1" applyAlignment="1" applyProtection="1">
      <alignment horizontal="right" shrinkToFit="1"/>
    </xf>
    <xf numFmtId="0" fontId="2" fillId="6" borderId="58" xfId="0" applyFont="1" applyFill="1" applyBorder="1" applyAlignment="1" applyProtection="1">
      <alignment horizontal="left"/>
      <protection locked="0"/>
    </xf>
    <xf numFmtId="49" fontId="4" fillId="8" borderId="59" xfId="0" applyNumberFormat="1" applyFont="1" applyFill="1" applyBorder="1" applyAlignment="1" applyProtection="1">
      <alignment horizontal="center" shrinkToFit="1"/>
    </xf>
    <xf numFmtId="0" fontId="4" fillId="8" borderId="60" xfId="0" applyNumberFormat="1" applyFont="1" applyFill="1" applyBorder="1" applyAlignment="1" applyProtection="1">
      <alignment horizontal="center" shrinkToFit="1"/>
    </xf>
    <xf numFmtId="0" fontId="20" fillId="8" borderId="60" xfId="0" applyFont="1" applyFill="1" applyBorder="1" applyAlignment="1" applyProtection="1">
      <alignment horizontal="right" shrinkToFit="1"/>
    </xf>
    <xf numFmtId="0" fontId="20" fillId="8" borderId="60" xfId="0" applyFont="1" applyFill="1" applyBorder="1" applyAlignment="1" applyProtection="1">
      <alignment horizontal="center" shrinkToFit="1"/>
    </xf>
    <xf numFmtId="182" fontId="20" fillId="8" borderId="61" xfId="0" applyNumberFormat="1" applyFont="1" applyFill="1" applyBorder="1" applyAlignment="1" applyProtection="1">
      <alignment horizontal="right" shrinkToFit="1"/>
    </xf>
    <xf numFmtId="179" fontId="20" fillId="8" borderId="62" xfId="1" applyNumberFormat="1" applyFont="1" applyFill="1" applyBorder="1" applyAlignment="1" applyProtection="1">
      <alignment horizontal="right" shrinkToFit="1"/>
    </xf>
    <xf numFmtId="182" fontId="20" fillId="8" borderId="59" xfId="2" applyNumberFormat="1" applyFont="1" applyFill="1" applyBorder="1" applyAlignment="1" applyProtection="1">
      <alignment horizontal="right" shrinkToFit="1"/>
    </xf>
    <xf numFmtId="0" fontId="2" fillId="6" borderId="63" xfId="0" applyFont="1" applyFill="1" applyBorder="1" applyAlignment="1" applyProtection="1">
      <alignment horizontal="left"/>
      <protection locked="0"/>
    </xf>
    <xf numFmtId="49" fontId="4" fillId="0" borderId="0" xfId="0" applyNumberFormat="1" applyFont="1" applyFill="1" applyBorder="1" applyAlignment="1" applyProtection="1">
      <alignment shrinkToFit="1"/>
    </xf>
    <xf numFmtId="0" fontId="2" fillId="0" borderId="0" xfId="0" applyFont="1" applyFill="1" applyBorder="1" applyAlignment="1" applyProtection="1">
      <alignment shrinkToFit="1"/>
    </xf>
    <xf numFmtId="0" fontId="20" fillId="0" borderId="0" xfId="0" applyFont="1" applyFill="1" applyBorder="1" applyAlignment="1" applyProtection="1">
      <alignment horizontal="center" shrinkToFit="1"/>
    </xf>
    <xf numFmtId="176" fontId="2" fillId="0" borderId="0" xfId="0" applyNumberFormat="1" applyFont="1" applyFill="1" applyBorder="1" applyAlignment="1" applyProtection="1">
      <alignment shrinkToFit="1"/>
    </xf>
    <xf numFmtId="0" fontId="20" fillId="5" borderId="64" xfId="0" applyFont="1" applyFill="1" applyBorder="1" applyAlignment="1" applyProtection="1">
      <alignment vertical="center" shrinkToFit="1"/>
    </xf>
    <xf numFmtId="0" fontId="2" fillId="0" borderId="0" xfId="0" applyFont="1" applyFill="1" applyBorder="1" applyAlignment="1" applyProtection="1">
      <alignment wrapText="1"/>
    </xf>
    <xf numFmtId="0" fontId="2" fillId="0" borderId="0" xfId="0" applyFont="1" applyAlignment="1" applyProtection="1">
      <alignment shrinkToFit="1"/>
    </xf>
    <xf numFmtId="0" fontId="20" fillId="5" borderId="59" xfId="0" applyFont="1" applyFill="1" applyBorder="1" applyAlignment="1" applyProtection="1">
      <alignment vertical="center" shrinkToFit="1"/>
    </xf>
    <xf numFmtId="176" fontId="37" fillId="0" borderId="0" xfId="0" applyNumberFormat="1" applyFont="1" applyFill="1" applyBorder="1" applyAlignment="1" applyProtection="1">
      <alignment vertical="center" shrinkToFit="1"/>
    </xf>
    <xf numFmtId="49" fontId="20" fillId="0" borderId="0" xfId="0" applyNumberFormat="1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 shrinkToFit="1"/>
    </xf>
    <xf numFmtId="0" fontId="20" fillId="5" borderId="65" xfId="0" applyFont="1" applyFill="1" applyBorder="1" applyAlignment="1" applyProtection="1">
      <alignment vertical="center" shrinkToFit="1"/>
    </xf>
    <xf numFmtId="0" fontId="0" fillId="0" borderId="0" xfId="0" applyFill="1" applyBorder="1" applyAlignment="1" applyProtection="1">
      <alignment horizontal="center"/>
    </xf>
    <xf numFmtId="0" fontId="2" fillId="0" borderId="0" xfId="0" applyFont="1" applyBorder="1" applyAlignment="1" applyProtection="1">
      <alignment shrinkToFit="1"/>
    </xf>
    <xf numFmtId="186" fontId="2" fillId="0" borderId="0" xfId="0" applyNumberFormat="1" applyFont="1" applyAlignment="1" applyProtection="1">
      <alignment shrinkToFit="1"/>
    </xf>
    <xf numFmtId="186" fontId="2" fillId="0" borderId="0" xfId="0" applyNumberFormat="1" applyFont="1" applyFill="1" applyBorder="1" applyAlignment="1" applyProtection="1">
      <alignment horizontal="center" shrinkToFit="1"/>
    </xf>
    <xf numFmtId="186" fontId="20" fillId="0" borderId="0" xfId="0" applyNumberFormat="1" applyFont="1" applyFill="1" applyBorder="1" applyAlignment="1" applyProtection="1">
      <alignment vertical="center" shrinkToFit="1"/>
    </xf>
    <xf numFmtId="186" fontId="26" fillId="0" borderId="0" xfId="2" applyNumberFormat="1" applyFont="1" applyFill="1" applyBorder="1" applyAlignment="1" applyProtection="1">
      <alignment horizontal="left"/>
    </xf>
    <xf numFmtId="186" fontId="37" fillId="0" borderId="0" xfId="0" applyNumberFormat="1" applyFont="1" applyFill="1" applyBorder="1" applyAlignment="1" applyProtection="1">
      <alignment vertical="center" shrinkToFit="1"/>
    </xf>
    <xf numFmtId="40" fontId="37" fillId="0" borderId="0" xfId="2" applyNumberFormat="1" applyFont="1" applyFill="1" applyBorder="1" applyAlignment="1" applyProtection="1">
      <alignment vertical="center" shrinkToFit="1"/>
    </xf>
    <xf numFmtId="0" fontId="0" fillId="0" borderId="0" xfId="0" applyFill="1" applyAlignment="1" applyProtection="1">
      <alignment horizontal="right" shrinkToFit="1"/>
    </xf>
    <xf numFmtId="186" fontId="2" fillId="0" borderId="0" xfId="0" applyNumberFormat="1" applyFont="1" applyFill="1" applyBorder="1" applyAlignment="1" applyProtection="1"/>
    <xf numFmtId="186" fontId="20" fillId="0" borderId="0" xfId="2" applyNumberFormat="1" applyFont="1" applyFill="1" applyBorder="1" applyAlignment="1" applyProtection="1"/>
    <xf numFmtId="186" fontId="2" fillId="0" borderId="0" xfId="0" applyNumberFormat="1" applyFont="1" applyFill="1" applyBorder="1" applyAlignment="1" applyProtection="1">
      <alignment shrinkToFit="1"/>
    </xf>
    <xf numFmtId="182" fontId="2" fillId="0" borderId="0" xfId="0" applyNumberFormat="1" applyFont="1" applyAlignment="1" applyProtection="1">
      <alignment shrinkToFit="1"/>
    </xf>
    <xf numFmtId="0" fontId="38" fillId="0" borderId="0" xfId="0" applyFont="1" applyFill="1" applyAlignment="1" applyProtection="1">
      <alignment horizontal="right"/>
    </xf>
    <xf numFmtId="0" fontId="38" fillId="0" borderId="0" xfId="0" applyFont="1" applyFill="1" applyBorder="1" applyAlignment="1" applyProtection="1"/>
    <xf numFmtId="176" fontId="2" fillId="5" borderId="64" xfId="0" applyNumberFormat="1" applyFont="1" applyFill="1" applyBorder="1" applyAlignment="1" applyProtection="1">
      <alignment vertical="center"/>
    </xf>
    <xf numFmtId="9" fontId="37" fillId="0" borderId="0" xfId="1" applyFont="1" applyFill="1" applyBorder="1" applyAlignment="1" applyProtection="1">
      <alignment vertical="center" shrinkToFit="1"/>
    </xf>
    <xf numFmtId="176" fontId="2" fillId="5" borderId="32" xfId="0" applyNumberFormat="1" applyFont="1" applyFill="1" applyBorder="1" applyAlignment="1" applyProtection="1">
      <alignment vertical="center"/>
    </xf>
    <xf numFmtId="0" fontId="38" fillId="0" borderId="0" xfId="0" applyFont="1" applyAlignment="1" applyProtection="1"/>
    <xf numFmtId="176" fontId="2" fillId="5" borderId="59" xfId="0" applyNumberFormat="1" applyFont="1" applyFill="1" applyBorder="1" applyAlignment="1" applyProtection="1">
      <alignment vertical="center"/>
    </xf>
    <xf numFmtId="176" fontId="20" fillId="5" borderId="64" xfId="0" applyNumberFormat="1" applyFont="1" applyFill="1" applyBorder="1" applyAlignment="1" applyProtection="1">
      <alignment vertical="center"/>
    </xf>
    <xf numFmtId="176" fontId="20" fillId="5" borderId="32" xfId="0" applyNumberFormat="1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/>
    </xf>
    <xf numFmtId="176" fontId="20" fillId="5" borderId="66" xfId="0" applyNumberFormat="1" applyFont="1" applyFill="1" applyBorder="1" applyAlignment="1" applyProtection="1">
      <alignment vertical="center"/>
    </xf>
    <xf numFmtId="0" fontId="38" fillId="0" borderId="0" xfId="0" applyFont="1" applyBorder="1" applyAlignment="1" applyProtection="1"/>
    <xf numFmtId="176" fontId="20" fillId="5" borderId="67" xfId="0" applyNumberFormat="1" applyFont="1" applyFill="1" applyBorder="1" applyAlignment="1" applyProtection="1">
      <alignment vertical="center"/>
    </xf>
    <xf numFmtId="176" fontId="20" fillId="0" borderId="0" xfId="0" applyNumberFormat="1" applyFont="1" applyFill="1" applyBorder="1" applyAlignment="1" applyProtection="1">
      <alignment vertical="center"/>
    </xf>
    <xf numFmtId="186" fontId="20" fillId="5" borderId="68" xfId="0" applyNumberFormat="1" applyFont="1" applyFill="1" applyBorder="1" applyAlignment="1" applyProtection="1">
      <alignment vertical="center"/>
    </xf>
    <xf numFmtId="186" fontId="2" fillId="0" borderId="0" xfId="0" applyNumberFormat="1" applyFont="1" applyFill="1" applyAlignment="1" applyProtection="1">
      <alignment shrinkToFit="1"/>
    </xf>
    <xf numFmtId="182" fontId="2" fillId="0" borderId="0" xfId="0" applyNumberFormat="1" applyFont="1" applyFill="1" applyAlignment="1" applyProtection="1">
      <alignment shrinkToFit="1"/>
    </xf>
    <xf numFmtId="186" fontId="20" fillId="5" borderId="64" xfId="0" applyNumberFormat="1" applyFont="1" applyFill="1" applyBorder="1" applyAlignment="1" applyProtection="1">
      <alignment vertical="center"/>
    </xf>
    <xf numFmtId="186" fontId="20" fillId="5" borderId="32" xfId="0" applyNumberFormat="1" applyFont="1" applyFill="1" applyBorder="1" applyAlignment="1" applyProtection="1">
      <alignment vertical="center"/>
    </xf>
    <xf numFmtId="186" fontId="20" fillId="5" borderId="66" xfId="0" applyNumberFormat="1" applyFont="1" applyFill="1" applyBorder="1" applyAlignment="1" applyProtection="1">
      <alignment vertical="center"/>
    </xf>
    <xf numFmtId="0" fontId="26" fillId="0" borderId="0" xfId="0" applyFont="1" applyAlignment="1" applyProtection="1">
      <alignment shrinkToFit="1"/>
    </xf>
    <xf numFmtId="186" fontId="26" fillId="0" borderId="0" xfId="0" applyNumberFormat="1" applyFont="1" applyAlignment="1" applyProtection="1">
      <alignment shrinkToFit="1"/>
    </xf>
    <xf numFmtId="186" fontId="20" fillId="5" borderId="67" xfId="0" applyNumberFormat="1" applyFont="1" applyFill="1" applyBorder="1" applyAlignment="1" applyProtection="1">
      <alignment vertical="center"/>
    </xf>
    <xf numFmtId="186" fontId="2" fillId="0" borderId="0" xfId="0" applyNumberFormat="1" applyFont="1" applyFill="1" applyBorder="1" applyAlignment="1" applyProtection="1">
      <alignment horizontal="right"/>
    </xf>
    <xf numFmtId="186" fontId="2" fillId="5" borderId="69" xfId="0" applyNumberFormat="1" applyFont="1" applyFill="1" applyBorder="1" applyAlignment="1" applyProtection="1">
      <alignment vertical="center"/>
    </xf>
    <xf numFmtId="186" fontId="2" fillId="5" borderId="70" xfId="0" applyNumberFormat="1" applyFont="1" applyFill="1" applyBorder="1" applyAlignment="1" applyProtection="1">
      <alignment vertical="center"/>
    </xf>
    <xf numFmtId="0" fontId="20" fillId="5" borderId="71" xfId="0" applyFont="1" applyFill="1" applyBorder="1" applyAlignment="1" applyProtection="1">
      <alignment vertical="center"/>
    </xf>
    <xf numFmtId="0" fontId="20" fillId="5" borderId="72" xfId="0" applyFont="1" applyFill="1" applyBorder="1" applyAlignment="1" applyProtection="1">
      <alignment horizontal="center" vertical="center" shrinkToFit="1"/>
    </xf>
    <xf numFmtId="40" fontId="20" fillId="5" borderId="73" xfId="2" applyNumberFormat="1" applyFont="1" applyFill="1" applyBorder="1" applyAlignment="1" applyProtection="1">
      <alignment horizontal="center" vertical="center"/>
    </xf>
    <xf numFmtId="0" fontId="20" fillId="5" borderId="73" xfId="0" applyFont="1" applyFill="1" applyBorder="1" applyAlignment="1" applyProtection="1">
      <alignment horizontal="center" vertical="center"/>
    </xf>
    <xf numFmtId="0" fontId="20" fillId="0" borderId="74" xfId="0" applyFont="1" applyFill="1" applyBorder="1" applyAlignment="1" applyProtection="1">
      <alignment horizontal="center" vertical="center"/>
    </xf>
    <xf numFmtId="0" fontId="20" fillId="0" borderId="0" xfId="0" applyFont="1" applyAlignment="1" applyProtection="1">
      <alignment vertical="center" shrinkToFit="1"/>
    </xf>
    <xf numFmtId="0" fontId="2" fillId="0" borderId="75" xfId="0" applyFont="1" applyBorder="1" applyAlignment="1" applyProtection="1">
      <alignment horizontal="left"/>
      <protection locked="0"/>
    </xf>
    <xf numFmtId="0" fontId="2" fillId="6" borderId="75" xfId="0" applyFont="1" applyFill="1" applyBorder="1" applyAlignment="1" applyProtection="1">
      <alignment horizontal="right" shrinkToFit="1"/>
      <protection locked="0"/>
    </xf>
    <xf numFmtId="0" fontId="2" fillId="6" borderId="76" xfId="2" applyNumberFormat="1" applyFont="1" applyFill="1" applyBorder="1" applyAlignment="1" applyProtection="1">
      <alignment horizontal="left"/>
      <protection locked="0"/>
    </xf>
    <xf numFmtId="177" fontId="2" fillId="6" borderId="76" xfId="0" applyNumberFormat="1" applyFont="1" applyFill="1" applyBorder="1" applyAlignment="1" applyProtection="1">
      <alignment horizontal="right"/>
      <protection locked="0"/>
    </xf>
    <xf numFmtId="179" fontId="2" fillId="6" borderId="76" xfId="1" applyNumberFormat="1" applyFont="1" applyFill="1" applyBorder="1" applyAlignment="1" applyProtection="1">
      <alignment horizontal="right"/>
      <protection locked="0"/>
    </xf>
    <xf numFmtId="181" fontId="2" fillId="6" borderId="76" xfId="0" applyNumberFormat="1" applyFont="1" applyFill="1" applyBorder="1" applyAlignment="1" applyProtection="1">
      <alignment horizontal="right"/>
      <protection locked="0"/>
    </xf>
    <xf numFmtId="176" fontId="2" fillId="0" borderId="74" xfId="0" applyNumberFormat="1" applyFont="1" applyFill="1" applyBorder="1" applyAlignment="1" applyProtection="1">
      <alignment horizontal="right"/>
    </xf>
    <xf numFmtId="0" fontId="2" fillId="0" borderId="30" xfId="0" applyFont="1" applyBorder="1" applyAlignment="1" applyProtection="1">
      <alignment horizontal="left"/>
      <protection locked="0"/>
    </xf>
    <xf numFmtId="0" fontId="2" fillId="6" borderId="30" xfId="0" applyFont="1" applyFill="1" applyBorder="1" applyAlignment="1" applyProtection="1">
      <alignment horizontal="right" shrinkToFit="1"/>
      <protection locked="0"/>
    </xf>
    <xf numFmtId="0" fontId="2" fillId="6" borderId="29" xfId="2" applyNumberFormat="1" applyFont="1" applyFill="1" applyBorder="1" applyAlignment="1" applyProtection="1">
      <alignment horizontal="left"/>
      <protection locked="0"/>
    </xf>
    <xf numFmtId="177" fontId="2" fillId="6" borderId="29" xfId="0" applyNumberFormat="1" applyFont="1" applyFill="1" applyBorder="1" applyAlignment="1" applyProtection="1">
      <alignment horizontal="right"/>
      <protection locked="0"/>
    </xf>
    <xf numFmtId="179" fontId="2" fillId="6" borderId="29" xfId="1" applyNumberFormat="1" applyFont="1" applyFill="1" applyBorder="1" applyAlignment="1" applyProtection="1">
      <alignment horizontal="right"/>
      <protection locked="0"/>
    </xf>
    <xf numFmtId="181" fontId="2" fillId="6" borderId="29" xfId="0" applyNumberFormat="1" applyFont="1" applyFill="1" applyBorder="1" applyAlignment="1" applyProtection="1">
      <alignment horizontal="right"/>
      <protection locked="0"/>
    </xf>
    <xf numFmtId="179" fontId="2" fillId="6" borderId="31" xfId="0" applyNumberFormat="1" applyFont="1" applyFill="1" applyBorder="1" applyAlignment="1" applyProtection="1">
      <alignment horizontal="right" shrinkToFit="1"/>
      <protection locked="0"/>
    </xf>
    <xf numFmtId="181" fontId="2" fillId="6" borderId="29" xfId="1" applyNumberFormat="1" applyFont="1" applyFill="1" applyBorder="1" applyAlignment="1" applyProtection="1">
      <alignment horizontal="right"/>
      <protection locked="0"/>
    </xf>
    <xf numFmtId="0" fontId="2" fillId="0" borderId="61" xfId="0" applyFont="1" applyBorder="1" applyAlignment="1" applyProtection="1">
      <alignment horizontal="left"/>
      <protection locked="0"/>
    </xf>
    <xf numFmtId="0" fontId="2" fillId="6" borderId="61" xfId="0" applyFont="1" applyFill="1" applyBorder="1" applyAlignment="1" applyProtection="1">
      <alignment horizontal="right" shrinkToFit="1"/>
      <protection locked="0"/>
    </xf>
    <xf numFmtId="0" fontId="2" fillId="6" borderId="60" xfId="2" applyNumberFormat="1" applyFont="1" applyFill="1" applyBorder="1" applyAlignment="1" applyProtection="1">
      <alignment horizontal="left"/>
      <protection locked="0"/>
    </xf>
    <xf numFmtId="177" fontId="2" fillId="6" borderId="60" xfId="0" applyNumberFormat="1" applyFont="1" applyFill="1" applyBorder="1" applyAlignment="1" applyProtection="1">
      <alignment horizontal="right"/>
      <protection locked="0"/>
    </xf>
    <xf numFmtId="179" fontId="2" fillId="6" borderId="60" xfId="1" applyNumberFormat="1" applyFont="1" applyFill="1" applyBorder="1" applyAlignment="1" applyProtection="1">
      <alignment horizontal="right"/>
      <protection locked="0"/>
    </xf>
    <xf numFmtId="181" fontId="2" fillId="6" borderId="60" xfId="0" applyNumberFormat="1" applyFont="1" applyFill="1" applyBorder="1" applyAlignment="1" applyProtection="1">
      <alignment horizontal="right"/>
      <protection locked="0"/>
    </xf>
    <xf numFmtId="176" fontId="26" fillId="0" borderId="74" xfId="0" applyNumberFormat="1" applyFont="1" applyFill="1" applyBorder="1" applyAlignment="1" applyProtection="1">
      <alignment horizontal="right"/>
    </xf>
    <xf numFmtId="0" fontId="2" fillId="0" borderId="0" xfId="0" applyFont="1" applyBorder="1" applyAlignment="1" applyProtection="1">
      <alignment horizontal="right"/>
    </xf>
    <xf numFmtId="0" fontId="2" fillId="0" borderId="68" xfId="0" applyNumberFormat="1" applyFont="1" applyBorder="1" applyAlignment="1" applyProtection="1">
      <alignment horizontal="right"/>
    </xf>
    <xf numFmtId="176" fontId="20" fillId="0" borderId="74" xfId="0" applyNumberFormat="1" applyFont="1" applyFill="1" applyBorder="1" applyAlignment="1" applyProtection="1">
      <alignment horizontal="right"/>
    </xf>
    <xf numFmtId="0" fontId="20" fillId="0" borderId="0" xfId="0" applyFont="1" applyBorder="1" applyAlignment="1" applyProtection="1">
      <alignment shrinkToFit="1"/>
    </xf>
    <xf numFmtId="10" fontId="37" fillId="0" borderId="0" xfId="1" applyNumberFormat="1" applyFont="1" applyFill="1" applyBorder="1" applyAlignment="1" applyProtection="1">
      <alignment vertical="center" shrinkToFit="1"/>
    </xf>
    <xf numFmtId="0" fontId="30" fillId="0" borderId="0" xfId="0" applyFont="1" applyBorder="1" applyAlignment="1" applyProtection="1">
      <alignment shrinkToFit="1"/>
    </xf>
    <xf numFmtId="49" fontId="4" fillId="0" borderId="0" xfId="0" applyNumberFormat="1" applyFont="1" applyBorder="1" applyAlignment="1" applyProtection="1">
      <alignment horizontal="center" shrinkToFit="1"/>
    </xf>
    <xf numFmtId="49" fontId="4" fillId="9" borderId="0" xfId="0" applyNumberFormat="1" applyFont="1" applyFill="1" applyBorder="1" applyAlignment="1" applyProtection="1">
      <alignment horizontal="center" shrinkToFit="1"/>
    </xf>
    <xf numFmtId="0" fontId="0" fillId="9" borderId="0" xfId="0" applyFill="1" applyAlignment="1" applyProtection="1">
      <alignment shrinkToFit="1"/>
    </xf>
    <xf numFmtId="178" fontId="0" fillId="9" borderId="0" xfId="0" applyNumberFormat="1" applyFill="1" applyBorder="1" applyAlignment="1" applyProtection="1">
      <alignment shrinkToFit="1"/>
    </xf>
    <xf numFmtId="0" fontId="0" fillId="9" borderId="0" xfId="0" applyFill="1" applyBorder="1" applyAlignment="1" applyProtection="1">
      <alignment shrinkToFit="1"/>
    </xf>
    <xf numFmtId="49" fontId="9" fillId="9" borderId="0" xfId="0" applyNumberFormat="1" applyFont="1" applyFill="1" applyAlignment="1" applyProtection="1">
      <alignment horizontal="center" vertical="center" shrinkToFit="1"/>
    </xf>
    <xf numFmtId="176" fontId="20" fillId="9" borderId="0" xfId="0" applyNumberFormat="1" applyFont="1" applyFill="1" applyBorder="1" applyAlignment="1" applyProtection="1">
      <alignment horizontal="center" shrinkToFit="1"/>
    </xf>
    <xf numFmtId="0" fontId="2" fillId="9" borderId="0" xfId="0" applyFont="1" applyFill="1" applyAlignment="1" applyProtection="1">
      <alignment shrinkToFit="1"/>
    </xf>
    <xf numFmtId="49" fontId="4" fillId="9" borderId="0" xfId="0" applyNumberFormat="1" applyFont="1" applyFill="1" applyAlignment="1" applyProtection="1">
      <alignment horizontal="center" shrinkToFit="1"/>
    </xf>
    <xf numFmtId="0" fontId="10" fillId="9" borderId="0" xfId="0" applyFont="1" applyFill="1" applyAlignment="1" applyProtection="1">
      <alignment horizontal="left" vertical="center" shrinkToFit="1"/>
    </xf>
    <xf numFmtId="49" fontId="4" fillId="9" borderId="0" xfId="0" applyNumberFormat="1" applyFont="1" applyFill="1" applyAlignment="1" applyProtection="1">
      <alignment shrinkToFit="1"/>
    </xf>
    <xf numFmtId="0" fontId="0" fillId="9" borderId="0" xfId="0" applyFill="1"/>
    <xf numFmtId="0" fontId="26" fillId="9" borderId="1" xfId="0" applyFont="1" applyFill="1" applyBorder="1"/>
    <xf numFmtId="0" fontId="26" fillId="9" borderId="1" xfId="0" applyFont="1" applyFill="1" applyBorder="1" applyAlignment="1">
      <alignment horizontal="center"/>
    </xf>
    <xf numFmtId="0" fontId="9" fillId="3" borderId="0" xfId="0" applyFont="1" applyFill="1" applyAlignment="1">
      <alignment vertical="center"/>
    </xf>
    <xf numFmtId="0" fontId="0" fillId="3" borderId="0" xfId="0" applyFill="1"/>
    <xf numFmtId="0" fontId="10" fillId="9" borderId="0" xfId="0" applyFont="1" applyFill="1" applyAlignment="1">
      <alignment horizontal="center" vertical="center"/>
    </xf>
    <xf numFmtId="0" fontId="0" fillId="9" borderId="3" xfId="0" applyFill="1" applyBorder="1"/>
    <xf numFmtId="0" fontId="16" fillId="9" borderId="3" xfId="0" applyFont="1" applyFill="1" applyBorder="1" applyAlignment="1">
      <alignment horizontal="right"/>
    </xf>
    <xf numFmtId="0" fontId="17" fillId="9" borderId="3" xfId="0" applyFont="1" applyFill="1" applyBorder="1"/>
    <xf numFmtId="0" fontId="0" fillId="5" borderId="69" xfId="0" applyFill="1" applyBorder="1" applyAlignment="1">
      <alignment shrinkToFit="1"/>
    </xf>
    <xf numFmtId="0" fontId="0" fillId="5" borderId="70" xfId="0" applyFill="1" applyBorder="1" applyAlignment="1">
      <alignment shrinkToFit="1"/>
    </xf>
    <xf numFmtId="0" fontId="30" fillId="9" borderId="0" xfId="0" applyFont="1" applyFill="1"/>
    <xf numFmtId="0" fontId="0" fillId="5" borderId="6" xfId="0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77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4" fillId="5" borderId="15" xfId="0" applyFont="1" applyFill="1" applyBorder="1" applyAlignment="1">
      <alignment horizontal="center" vertical="top"/>
    </xf>
    <xf numFmtId="0" fontId="0" fillId="5" borderId="15" xfId="0" applyFill="1" applyBorder="1" applyAlignment="1">
      <alignment horizontal="center" vertical="top"/>
    </xf>
    <xf numFmtId="0" fontId="0" fillId="5" borderId="78" xfId="0" applyFill="1" applyBorder="1" applyAlignment="1">
      <alignment horizontal="center" vertical="top"/>
    </xf>
    <xf numFmtId="0" fontId="0" fillId="5" borderId="79" xfId="0" applyFill="1" applyBorder="1" applyAlignment="1">
      <alignment horizontal="center" vertical="top"/>
    </xf>
    <xf numFmtId="0" fontId="0" fillId="5" borderId="74" xfId="0" applyFill="1" applyBorder="1"/>
    <xf numFmtId="0" fontId="0" fillId="5" borderId="0" xfId="0" applyFill="1" applyBorder="1"/>
    <xf numFmtId="0" fontId="20" fillId="5" borderId="0" xfId="0" applyFont="1" applyFill="1" applyBorder="1" applyAlignment="1">
      <alignment horizontal="center"/>
    </xf>
    <xf numFmtId="0" fontId="0" fillId="5" borderId="23" xfId="0" applyFill="1" applyBorder="1"/>
    <xf numFmtId="0" fontId="0" fillId="5" borderId="80" xfId="0" applyFill="1" applyBorder="1"/>
    <xf numFmtId="0" fontId="0" fillId="5" borderId="81" xfId="0" applyFill="1" applyBorder="1"/>
    <xf numFmtId="0" fontId="4" fillId="5" borderId="32" xfId="0" applyFont="1" applyFill="1" applyBorder="1" applyAlignment="1">
      <alignment horizontal="center"/>
    </xf>
    <xf numFmtId="0" fontId="4" fillId="5" borderId="29" xfId="0" applyFont="1" applyFill="1" applyBorder="1"/>
    <xf numFmtId="0" fontId="20" fillId="9" borderId="29" xfId="0" applyFont="1" applyFill="1" applyBorder="1" applyAlignment="1">
      <alignment horizontal="right"/>
    </xf>
    <xf numFmtId="0" fontId="0" fillId="8" borderId="34" xfId="0" applyFill="1" applyBorder="1"/>
    <xf numFmtId="0" fontId="0" fillId="8" borderId="35" xfId="0" applyFill="1" applyBorder="1"/>
    <xf numFmtId="0" fontId="0" fillId="5" borderId="44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20" fillId="5" borderId="47" xfId="0" applyFont="1" applyFill="1" applyBorder="1" applyAlignment="1">
      <alignment horizontal="center"/>
    </xf>
    <xf numFmtId="0" fontId="0" fillId="5" borderId="44" xfId="0" applyFill="1" applyBorder="1"/>
    <xf numFmtId="0" fontId="0" fillId="5" borderId="47" xfId="0" applyFill="1" applyBorder="1"/>
    <xf numFmtId="0" fontId="0" fillId="8" borderId="59" xfId="0" applyFill="1" applyBorder="1"/>
    <xf numFmtId="0" fontId="0" fillId="8" borderId="60" xfId="0" applyFill="1" applyBorder="1"/>
    <xf numFmtId="0" fontId="26" fillId="9" borderId="0" xfId="0" applyFont="1" applyFill="1" applyAlignment="1" applyProtection="1">
      <alignment shrinkToFit="1"/>
    </xf>
    <xf numFmtId="188" fontId="26" fillId="9" borderId="1" xfId="0" applyNumberFormat="1" applyFont="1" applyFill="1" applyBorder="1" applyAlignment="1">
      <alignment horizontal="center"/>
    </xf>
    <xf numFmtId="189" fontId="26" fillId="9" borderId="1" xfId="0" applyNumberFormat="1" applyFont="1" applyFill="1" applyBorder="1" applyAlignment="1">
      <alignment horizontal="center"/>
    </xf>
    <xf numFmtId="31" fontId="0" fillId="6" borderId="2" xfId="0" applyNumberFormat="1" applyFill="1" applyBorder="1"/>
    <xf numFmtId="183" fontId="0" fillId="5" borderId="29" xfId="0" applyNumberFormat="1" applyFill="1" applyBorder="1" applyAlignment="1">
      <alignment horizontal="right"/>
    </xf>
    <xf numFmtId="183" fontId="0" fillId="5" borderId="82" xfId="0" applyNumberFormat="1" applyFill="1" applyBorder="1" applyAlignment="1">
      <alignment horizontal="right"/>
    </xf>
    <xf numFmtId="183" fontId="0" fillId="8" borderId="37" xfId="0" applyNumberFormat="1" applyFill="1" applyBorder="1"/>
    <xf numFmtId="183" fontId="0" fillId="8" borderId="83" xfId="0" applyNumberFormat="1" applyFill="1" applyBorder="1"/>
    <xf numFmtId="183" fontId="0" fillId="8" borderId="84" xfId="0" applyNumberFormat="1" applyFill="1" applyBorder="1"/>
    <xf numFmtId="183" fontId="0" fillId="5" borderId="48" xfId="0" applyNumberFormat="1" applyFill="1" applyBorder="1"/>
    <xf numFmtId="183" fontId="0" fillId="5" borderId="45" xfId="0" applyNumberFormat="1" applyFill="1" applyBorder="1"/>
    <xf numFmtId="183" fontId="0" fillId="5" borderId="85" xfId="0" applyNumberFormat="1" applyFill="1" applyBorder="1"/>
    <xf numFmtId="183" fontId="0" fillId="5" borderId="32" xfId="0" applyNumberFormat="1" applyFill="1" applyBorder="1" applyAlignment="1">
      <alignment horizontal="right"/>
    </xf>
    <xf numFmtId="183" fontId="0" fillId="5" borderId="86" xfId="0" applyNumberFormat="1" applyFill="1" applyBorder="1" applyAlignment="1">
      <alignment horizontal="right"/>
    </xf>
    <xf numFmtId="183" fontId="0" fillId="8" borderId="59" xfId="0" applyNumberFormat="1" applyFill="1" applyBorder="1"/>
    <xf numFmtId="183" fontId="0" fillId="8" borderId="60" xfId="0" applyNumberFormat="1" applyFill="1" applyBorder="1"/>
    <xf numFmtId="183" fontId="0" fillId="8" borderId="87" xfId="0" applyNumberFormat="1" applyFill="1" applyBorder="1"/>
    <xf numFmtId="184" fontId="38" fillId="9" borderId="0" xfId="0" applyNumberFormat="1" applyFont="1" applyFill="1" applyAlignment="1">
      <alignment shrinkToFit="1"/>
    </xf>
    <xf numFmtId="0" fontId="1" fillId="5" borderId="64" xfId="0" applyFont="1" applyFill="1" applyBorder="1" applyAlignment="1" applyProtection="1">
      <alignment shrinkToFit="1"/>
    </xf>
    <xf numFmtId="0" fontId="1" fillId="5" borderId="32" xfId="0" applyFont="1" applyFill="1" applyBorder="1" applyAlignment="1" applyProtection="1">
      <alignment shrinkToFit="1"/>
    </xf>
    <xf numFmtId="0" fontId="1" fillId="5" borderId="59" xfId="0" applyFont="1" applyFill="1" applyBorder="1" applyAlignment="1" applyProtection="1">
      <alignment shrinkToFit="1"/>
    </xf>
    <xf numFmtId="0" fontId="1" fillId="0" borderId="0" xfId="0" applyFont="1" applyAlignment="1" applyProtection="1">
      <alignment shrinkToFit="1"/>
    </xf>
    <xf numFmtId="186" fontId="1" fillId="0" borderId="0" xfId="0" applyNumberFormat="1" applyFont="1" applyAlignment="1" applyProtection="1">
      <alignment shrinkToFit="1"/>
    </xf>
    <xf numFmtId="186" fontId="1" fillId="0" borderId="0" xfId="0" applyNumberFormat="1" applyFont="1" applyFill="1" applyBorder="1" applyAlignment="1" applyProtection="1">
      <alignment horizontal="center" shrinkToFit="1"/>
    </xf>
    <xf numFmtId="0" fontId="19" fillId="0" borderId="0" xfId="0" applyFont="1" applyBorder="1" applyAlignment="1" applyProtection="1">
      <alignment shrinkToFit="1"/>
    </xf>
    <xf numFmtId="0" fontId="1" fillId="0" borderId="0" xfId="0" applyFont="1" applyFill="1" applyAlignment="1" applyProtection="1">
      <alignment shrinkToFit="1"/>
    </xf>
    <xf numFmtId="0" fontId="1" fillId="0" borderId="0" xfId="0" applyFont="1" applyFill="1" applyBorder="1" applyAlignment="1" applyProtection="1">
      <alignment shrinkToFit="1"/>
    </xf>
    <xf numFmtId="0" fontId="1" fillId="0" borderId="5" xfId="0" applyFont="1" applyFill="1" applyBorder="1" applyAlignment="1" applyProtection="1">
      <alignment horizontal="left"/>
    </xf>
    <xf numFmtId="49" fontId="9" fillId="9" borderId="0" xfId="0" applyNumberFormat="1" applyFont="1" applyFill="1" applyBorder="1" applyAlignment="1" applyProtection="1">
      <alignment horizontal="center" vertical="center" shrinkToFit="1"/>
    </xf>
    <xf numFmtId="0" fontId="25" fillId="9" borderId="0" xfId="0" applyFont="1" applyFill="1"/>
    <xf numFmtId="0" fontId="25" fillId="9" borderId="0" xfId="0" applyFont="1" applyFill="1" applyAlignment="1">
      <alignment horizontal="left"/>
    </xf>
    <xf numFmtId="0" fontId="2" fillId="9" borderId="0" xfId="0" applyFont="1" applyFill="1"/>
    <xf numFmtId="0" fontId="42" fillId="0" borderId="1" xfId="3" applyFont="1" applyFill="1" applyBorder="1" applyAlignment="1"/>
    <xf numFmtId="0" fontId="43" fillId="0" borderId="1" xfId="3" applyFont="1" applyFill="1" applyBorder="1" applyAlignment="1"/>
    <xf numFmtId="0" fontId="1" fillId="5" borderId="88" xfId="0" applyFont="1" applyFill="1" applyBorder="1" applyAlignment="1" applyProtection="1">
      <alignment horizontal="left" shrinkToFit="1"/>
    </xf>
    <xf numFmtId="0" fontId="1" fillId="5" borderId="89" xfId="0" applyFont="1" applyFill="1" applyBorder="1" applyAlignment="1" applyProtection="1">
      <alignment horizontal="left" shrinkToFit="1"/>
    </xf>
    <xf numFmtId="0" fontId="1" fillId="5" borderId="90" xfId="0" applyFont="1" applyFill="1" applyBorder="1" applyAlignment="1" applyProtection="1">
      <alignment horizontal="left" shrinkToFit="1"/>
    </xf>
    <xf numFmtId="0" fontId="1" fillId="5" borderId="82" xfId="0" applyFont="1" applyFill="1" applyBorder="1" applyAlignment="1" applyProtection="1">
      <alignment horizontal="left" shrinkToFit="1"/>
    </xf>
    <xf numFmtId="0" fontId="1" fillId="5" borderId="90" xfId="0" applyFont="1" applyFill="1" applyBorder="1" applyAlignment="1" applyProtection="1">
      <alignment horizontal="left" shrinkToFit="1"/>
      <protection locked="0"/>
    </xf>
    <xf numFmtId="0" fontId="1" fillId="5" borderId="82" xfId="0" applyFont="1" applyFill="1" applyBorder="1" applyAlignment="1" applyProtection="1">
      <alignment horizontal="left" shrinkToFit="1"/>
      <protection locked="0"/>
    </xf>
    <xf numFmtId="0" fontId="1" fillId="0" borderId="90" xfId="0" applyFont="1" applyFill="1" applyBorder="1" applyAlignment="1" applyProtection="1">
      <alignment horizontal="left" shrinkToFit="1"/>
      <protection locked="0"/>
    </xf>
    <xf numFmtId="0" fontId="1" fillId="0" borderId="82" xfId="0" applyFont="1" applyFill="1" applyBorder="1" applyAlignment="1" applyProtection="1">
      <alignment horizontal="left" shrinkToFit="1"/>
      <protection locked="0"/>
    </xf>
    <xf numFmtId="180" fontId="1" fillId="0" borderId="90" xfId="0" applyNumberFormat="1" applyFont="1" applyFill="1" applyBorder="1" applyAlignment="1" applyProtection="1">
      <alignment horizontal="left" shrinkToFit="1"/>
      <protection locked="0"/>
    </xf>
    <xf numFmtId="180" fontId="1" fillId="0" borderId="82" xfId="0" applyNumberFormat="1" applyFont="1" applyFill="1" applyBorder="1" applyAlignment="1" applyProtection="1">
      <alignment horizontal="left" shrinkToFit="1"/>
      <protection locked="0"/>
    </xf>
    <xf numFmtId="49" fontId="19" fillId="0" borderId="2" xfId="0" applyNumberFormat="1" applyFont="1" applyFill="1" applyBorder="1" applyAlignment="1" applyProtection="1">
      <alignment horizontal="left"/>
      <protection locked="0"/>
    </xf>
    <xf numFmtId="49" fontId="19" fillId="0" borderId="2" xfId="0" applyNumberFormat="1" applyFont="1" applyFill="1" applyBorder="1" applyAlignment="1" applyProtection="1">
      <alignment horizontal="left" shrinkToFit="1"/>
      <protection locked="0"/>
    </xf>
    <xf numFmtId="49" fontId="36" fillId="5" borderId="91" xfId="0" applyNumberFormat="1" applyFont="1" applyFill="1" applyBorder="1" applyAlignment="1" applyProtection="1">
      <alignment horizontal="left" vertical="center"/>
    </xf>
    <xf numFmtId="49" fontId="4" fillId="0" borderId="26" xfId="0" applyNumberFormat="1" applyFont="1" applyBorder="1" applyAlignment="1" applyProtection="1">
      <alignment horizontal="left"/>
      <protection locked="0"/>
    </xf>
    <xf numFmtId="49" fontId="4" fillId="0" borderId="32" xfId="0" applyNumberFormat="1" applyFont="1" applyBorder="1" applyAlignment="1" applyProtection="1">
      <alignment horizontal="left"/>
      <protection locked="0"/>
    </xf>
    <xf numFmtId="49" fontId="4" fillId="0" borderId="59" xfId="0" applyNumberFormat="1" applyFont="1" applyBorder="1" applyAlignment="1" applyProtection="1">
      <alignment horizontal="left"/>
      <protection locked="0"/>
    </xf>
    <xf numFmtId="0" fontId="0" fillId="5" borderId="92" xfId="0" applyNumberFormat="1" applyFill="1" applyBorder="1" applyAlignment="1"/>
    <xf numFmtId="0" fontId="1" fillId="5" borderId="93" xfId="0" applyFont="1" applyFill="1" applyBorder="1" applyAlignment="1" applyProtection="1">
      <alignment horizontal="left" shrinkToFit="1"/>
    </xf>
    <xf numFmtId="0" fontId="1" fillId="5" borderId="94" xfId="0" applyFont="1" applyFill="1" applyBorder="1" applyAlignment="1" applyProtection="1">
      <alignment horizontal="left" shrinkToFit="1"/>
    </xf>
    <xf numFmtId="0" fontId="0" fillId="5" borderId="95" xfId="0" applyFill="1" applyBorder="1" applyAlignment="1">
      <alignment horizontal="center" vertical="top"/>
    </xf>
    <xf numFmtId="183" fontId="0" fillId="5" borderId="28" xfId="0" applyNumberFormat="1" applyFill="1" applyBorder="1" applyAlignment="1">
      <alignment horizontal="right"/>
    </xf>
    <xf numFmtId="0" fontId="0" fillId="0" borderId="12" xfId="0" applyFill="1" applyBorder="1" applyAlignment="1">
      <alignment shrinkToFit="1"/>
    </xf>
    <xf numFmtId="55" fontId="0" fillId="5" borderId="96" xfId="0" applyNumberFormat="1" applyFill="1" applyBorder="1" applyAlignment="1">
      <alignment horizontal="center"/>
    </xf>
    <xf numFmtId="55" fontId="0" fillId="5" borderId="97" xfId="0" applyNumberFormat="1" applyFill="1" applyBorder="1" applyAlignment="1">
      <alignment horizontal="center"/>
    </xf>
    <xf numFmtId="191" fontId="0" fillId="5" borderId="1" xfId="0" applyNumberFormat="1" applyFill="1" applyBorder="1" applyAlignment="1">
      <alignment horizontal="right"/>
    </xf>
    <xf numFmtId="191" fontId="0" fillId="5" borderId="98" xfId="0" applyNumberFormat="1" applyFill="1" applyBorder="1" applyAlignment="1">
      <alignment horizontal="right"/>
    </xf>
    <xf numFmtId="55" fontId="0" fillId="5" borderId="99" xfId="0" applyNumberFormat="1" applyFill="1" applyBorder="1" applyAlignment="1">
      <alignment horizontal="center"/>
    </xf>
    <xf numFmtId="191" fontId="0" fillId="5" borderId="100" xfId="0" applyNumberFormat="1" applyFill="1" applyBorder="1" applyAlignment="1">
      <alignment horizontal="right"/>
    </xf>
    <xf numFmtId="190" fontId="0" fillId="5" borderId="101" xfId="0" applyNumberFormat="1" applyFill="1" applyBorder="1" applyAlignment="1">
      <alignment horizontal="right"/>
    </xf>
    <xf numFmtId="190" fontId="0" fillId="5" borderId="102" xfId="0" applyNumberFormat="1" applyFill="1" applyBorder="1" applyAlignment="1">
      <alignment horizontal="right"/>
    </xf>
    <xf numFmtId="190" fontId="0" fillId="5" borderId="70" xfId="0" applyNumberFormat="1" applyFill="1" applyBorder="1" applyAlignment="1">
      <alignment horizontal="right"/>
    </xf>
    <xf numFmtId="0" fontId="20" fillId="5" borderId="77" xfId="0" applyFont="1" applyFill="1" applyBorder="1" applyAlignment="1" applyProtection="1">
      <alignment horizontal="center" shrinkToFit="1"/>
    </xf>
    <xf numFmtId="0" fontId="0" fillId="5" borderId="103" xfId="0" applyFill="1" applyBorder="1" applyAlignment="1">
      <alignment horizontal="center"/>
    </xf>
    <xf numFmtId="186" fontId="2" fillId="0" borderId="0" xfId="0" applyNumberFormat="1" applyFont="1" applyFill="1" applyBorder="1" applyAlignment="1" applyProtection="1">
      <alignment vertical="center"/>
    </xf>
    <xf numFmtId="10" fontId="19" fillId="0" borderId="0" xfId="1" applyNumberFormat="1" applyFont="1" applyFill="1" applyBorder="1" applyAlignment="1" applyProtection="1">
      <alignment horizontal="right" vertical="center" shrinkToFit="1"/>
    </xf>
    <xf numFmtId="0" fontId="1" fillId="5" borderId="90" xfId="0" applyNumberFormat="1" applyFont="1" applyFill="1" applyBorder="1" applyAlignment="1" applyProtection="1">
      <alignment horizontal="right" shrinkToFit="1"/>
      <protection locked="0"/>
    </xf>
    <xf numFmtId="190" fontId="1" fillId="5" borderId="82" xfId="0" applyNumberFormat="1" applyFont="1" applyFill="1" applyBorder="1" applyAlignment="1" applyProtection="1">
      <alignment horizontal="right" shrinkToFit="1"/>
      <protection locked="0"/>
    </xf>
    <xf numFmtId="185" fontId="1" fillId="5" borderId="90" xfId="0" applyNumberFormat="1" applyFont="1" applyFill="1" applyBorder="1" applyAlignment="1" applyProtection="1">
      <alignment horizontal="right" shrinkToFit="1"/>
      <protection locked="0"/>
    </xf>
    <xf numFmtId="185" fontId="1" fillId="5" borderId="82" xfId="0" applyNumberFormat="1" applyFont="1" applyFill="1" applyBorder="1" applyAlignment="1" applyProtection="1">
      <alignment horizontal="right" shrinkToFit="1"/>
      <protection locked="0"/>
    </xf>
    <xf numFmtId="185" fontId="1" fillId="5" borderId="93" xfId="0" applyNumberFormat="1" applyFont="1" applyFill="1" applyBorder="1" applyAlignment="1" applyProtection="1">
      <alignment horizontal="right" shrinkToFit="1"/>
      <protection locked="0"/>
    </xf>
    <xf numFmtId="185" fontId="1" fillId="5" borderId="94" xfId="0" applyNumberFormat="1" applyFont="1" applyFill="1" applyBorder="1" applyAlignment="1" applyProtection="1">
      <alignment horizontal="right" shrinkToFit="1"/>
      <protection locked="0"/>
    </xf>
    <xf numFmtId="0" fontId="8" fillId="0" borderId="104" xfId="3" applyFont="1" applyFill="1" applyBorder="1"/>
    <xf numFmtId="0" fontId="20" fillId="5" borderId="105" xfId="0" applyFont="1" applyFill="1" applyBorder="1" applyAlignment="1" applyProtection="1">
      <alignment horizontal="center" vertical="top" shrinkToFit="1"/>
    </xf>
    <xf numFmtId="0" fontId="1" fillId="6" borderId="88" xfId="0" applyFont="1" applyFill="1" applyBorder="1" applyAlignment="1" applyProtection="1">
      <alignment horizontal="right" shrinkToFit="1"/>
      <protection locked="0"/>
    </xf>
    <xf numFmtId="0" fontId="1" fillId="6" borderId="89" xfId="0" applyFont="1" applyFill="1" applyBorder="1" applyAlignment="1" applyProtection="1">
      <alignment horizontal="right" shrinkToFit="1"/>
      <protection locked="0"/>
    </xf>
    <xf numFmtId="0" fontId="1" fillId="5" borderId="82" xfId="0" applyNumberFormat="1" applyFont="1" applyFill="1" applyBorder="1" applyAlignment="1" applyProtection="1">
      <alignment horizontal="right" shrinkToFit="1"/>
      <protection locked="0"/>
    </xf>
    <xf numFmtId="182" fontId="2" fillId="5" borderId="90" xfId="0" applyNumberFormat="1" applyFont="1" applyFill="1" applyBorder="1" applyAlignment="1" applyProtection="1">
      <alignment horizontal="right" shrinkToFit="1"/>
    </xf>
    <xf numFmtId="182" fontId="19" fillId="5" borderId="106" xfId="0" applyNumberFormat="1" applyFont="1" applyFill="1" applyBorder="1" applyAlignment="1" applyProtection="1">
      <alignment horizontal="right" vertical="center" shrinkToFit="1"/>
    </xf>
    <xf numFmtId="10" fontId="19" fillId="5" borderId="107" xfId="1" applyNumberFormat="1" applyFont="1" applyFill="1" applyBorder="1" applyAlignment="1" applyProtection="1">
      <alignment horizontal="right" vertical="center" shrinkToFit="1"/>
    </xf>
    <xf numFmtId="176" fontId="2" fillId="5" borderId="108" xfId="0" applyNumberFormat="1" applyFont="1" applyFill="1" applyBorder="1" applyAlignment="1" applyProtection="1">
      <alignment horizontal="center" vertical="center" shrinkToFit="1"/>
    </xf>
    <xf numFmtId="182" fontId="20" fillId="8" borderId="109" xfId="2" applyNumberFormat="1" applyFont="1" applyFill="1" applyBorder="1" applyAlignment="1" applyProtection="1">
      <alignment horizontal="right" shrinkToFit="1"/>
    </xf>
    <xf numFmtId="182" fontId="2" fillId="5" borderId="110" xfId="0" applyNumberFormat="1" applyFont="1" applyFill="1" applyBorder="1" applyAlignment="1" applyProtection="1">
      <alignment horizontal="right" shrinkToFit="1"/>
    </xf>
    <xf numFmtId="182" fontId="20" fillId="8" borderId="111" xfId="0" applyNumberFormat="1" applyFont="1" applyFill="1" applyBorder="1" applyAlignment="1" applyProtection="1">
      <alignment horizontal="right" shrinkToFit="1"/>
    </xf>
    <xf numFmtId="182" fontId="20" fillId="5" borderId="112" xfId="2" applyNumberFormat="1" applyFont="1" applyFill="1" applyBorder="1" applyAlignment="1" applyProtection="1">
      <alignment horizontal="right" shrinkToFit="1"/>
    </xf>
    <xf numFmtId="182" fontId="2" fillId="5" borderId="90" xfId="2" applyNumberFormat="1" applyFont="1" applyFill="1" applyBorder="1" applyAlignment="1" applyProtection="1">
      <alignment horizontal="right" shrinkToFit="1"/>
    </xf>
    <xf numFmtId="182" fontId="20" fillId="8" borderId="93" xfId="2" applyNumberFormat="1" applyFont="1" applyFill="1" applyBorder="1" applyAlignment="1" applyProtection="1">
      <alignment horizontal="right" shrinkToFit="1"/>
    </xf>
    <xf numFmtId="182" fontId="37" fillId="5" borderId="88" xfId="0" applyNumberFormat="1" applyFont="1" applyFill="1" applyBorder="1" applyAlignment="1" applyProtection="1">
      <alignment horizontal="right" vertical="center" shrinkToFit="1"/>
    </xf>
    <xf numFmtId="182" fontId="37" fillId="5" borderId="90" xfId="0" applyNumberFormat="1" applyFont="1" applyFill="1" applyBorder="1" applyAlignment="1" applyProtection="1">
      <alignment horizontal="right" vertical="center" shrinkToFit="1"/>
    </xf>
    <xf numFmtId="182" fontId="37" fillId="6" borderId="113" xfId="0" applyNumberFormat="1" applyFont="1" applyFill="1" applyBorder="1" applyAlignment="1" applyProtection="1">
      <alignment horizontal="right" vertical="center" shrinkToFit="1"/>
      <protection locked="0"/>
    </xf>
    <xf numFmtId="182" fontId="37" fillId="5" borderId="88" xfId="0" applyNumberFormat="1" applyFont="1" applyFill="1" applyBorder="1" applyAlignment="1" applyProtection="1">
      <alignment vertical="center" shrinkToFit="1"/>
    </xf>
    <xf numFmtId="182" fontId="37" fillId="5" borderId="93" xfId="0" applyNumberFormat="1" applyFont="1" applyFill="1" applyBorder="1" applyAlignment="1" applyProtection="1">
      <alignment vertical="center" shrinkToFit="1"/>
    </xf>
    <xf numFmtId="182" fontId="19" fillId="5" borderId="88" xfId="0" applyNumberFormat="1" applyFont="1" applyFill="1" applyBorder="1" applyAlignment="1" applyProtection="1">
      <alignment horizontal="right" vertical="center" shrinkToFit="1"/>
    </xf>
    <xf numFmtId="182" fontId="19" fillId="5" borderId="113" xfId="0" applyNumberFormat="1" applyFont="1" applyFill="1" applyBorder="1" applyAlignment="1" applyProtection="1">
      <alignment horizontal="right" vertical="center" shrinkToFit="1"/>
    </xf>
    <xf numFmtId="182" fontId="19" fillId="5" borderId="114" xfId="0" applyNumberFormat="1" applyFont="1" applyFill="1" applyBorder="1" applyAlignment="1" applyProtection="1">
      <alignment horizontal="right" vertical="center" shrinkToFit="1"/>
    </xf>
    <xf numFmtId="0" fontId="20" fillId="5" borderId="103" xfId="0" applyFont="1" applyFill="1" applyBorder="1" applyAlignment="1" applyProtection="1">
      <alignment horizontal="center" shrinkToFit="1"/>
    </xf>
    <xf numFmtId="182" fontId="37" fillId="5" borderId="114" xfId="0" applyNumberFormat="1" applyFont="1" applyFill="1" applyBorder="1" applyAlignment="1" applyProtection="1">
      <alignment horizontal="right" vertical="center" shrinkToFit="1"/>
    </xf>
    <xf numFmtId="182" fontId="37" fillId="5" borderId="115" xfId="0" applyNumberFormat="1" applyFont="1" applyFill="1" applyBorder="1" applyAlignment="1" applyProtection="1">
      <alignment horizontal="right" vertical="center" shrinkToFit="1"/>
    </xf>
    <xf numFmtId="182" fontId="19" fillId="6" borderId="90" xfId="0" applyNumberFormat="1" applyFont="1" applyFill="1" applyBorder="1" applyAlignment="1" applyProtection="1">
      <alignment horizontal="right" vertical="center" shrinkToFit="1"/>
      <protection locked="0"/>
    </xf>
    <xf numFmtId="182" fontId="19" fillId="5" borderId="90" xfId="0" applyNumberFormat="1" applyFont="1" applyFill="1" applyBorder="1" applyAlignment="1" applyProtection="1">
      <alignment horizontal="right" vertical="center" shrinkToFit="1"/>
    </xf>
    <xf numFmtId="10" fontId="19" fillId="6" borderId="93" xfId="1" applyNumberFormat="1" applyFont="1" applyFill="1" applyBorder="1" applyAlignment="1" applyProtection="1">
      <alignment horizontal="right" vertical="center" shrinkToFit="1"/>
      <protection locked="0"/>
    </xf>
    <xf numFmtId="31" fontId="12" fillId="6" borderId="2" xfId="0" applyNumberFormat="1" applyFont="1" applyFill="1" applyBorder="1" applyAlignment="1" applyProtection="1">
      <alignment horizontal="left"/>
      <protection locked="0"/>
    </xf>
    <xf numFmtId="0" fontId="17" fillId="5" borderId="116" xfId="0" applyFont="1" applyFill="1" applyBorder="1" applyAlignment="1" applyProtection="1">
      <alignment horizontal="left"/>
      <protection locked="0"/>
    </xf>
    <xf numFmtId="182" fontId="2" fillId="5" borderId="108" xfId="0" applyNumberFormat="1" applyFont="1" applyFill="1" applyBorder="1" applyAlignment="1" applyProtection="1">
      <alignment horizontal="right" shrinkToFit="1"/>
    </xf>
    <xf numFmtId="182" fontId="20" fillId="8" borderId="111" xfId="2" applyNumberFormat="1" applyFont="1" applyFill="1" applyBorder="1" applyAlignment="1" applyProtection="1">
      <alignment horizontal="right" shrinkToFit="1"/>
    </xf>
    <xf numFmtId="182" fontId="2" fillId="5" borderId="112" xfId="0" applyNumberFormat="1" applyFont="1" applyFill="1" applyBorder="1" applyAlignment="1" applyProtection="1">
      <alignment horizontal="right" shrinkToFit="1"/>
    </xf>
    <xf numFmtId="187" fontId="37" fillId="5" borderId="115" xfId="0" applyNumberFormat="1" applyFont="1" applyFill="1" applyBorder="1" applyAlignment="1" applyProtection="1">
      <alignment vertical="center" shrinkToFit="1"/>
    </xf>
    <xf numFmtId="176" fontId="2" fillId="5" borderId="90" xfId="0" applyNumberFormat="1" applyFont="1" applyFill="1" applyBorder="1" applyAlignment="1" applyProtection="1">
      <alignment horizontal="right"/>
      <protection locked="0"/>
    </xf>
    <xf numFmtId="176" fontId="2" fillId="5" borderId="108" xfId="0" applyNumberFormat="1" applyFont="1" applyFill="1" applyBorder="1" applyAlignment="1" applyProtection="1">
      <alignment horizontal="right"/>
      <protection locked="0"/>
    </xf>
    <xf numFmtId="186" fontId="30" fillId="0" borderId="0" xfId="0" applyNumberFormat="1" applyFont="1" applyAlignment="1" applyProtection="1">
      <alignment shrinkToFit="1"/>
    </xf>
    <xf numFmtId="186" fontId="44" fillId="0" borderId="0" xfId="2" applyNumberFormat="1" applyFont="1" applyFill="1" applyBorder="1" applyAlignment="1" applyProtection="1">
      <alignment horizontal="left"/>
    </xf>
    <xf numFmtId="186" fontId="30" fillId="0" borderId="0" xfId="0" applyNumberFormat="1" applyFont="1" applyFill="1" applyBorder="1" applyAlignment="1" applyProtection="1">
      <alignment shrinkToFit="1"/>
    </xf>
    <xf numFmtId="187" fontId="37" fillId="5" borderId="115" xfId="2" applyNumberFormat="1" applyFont="1" applyFill="1" applyBorder="1" applyAlignment="1" applyProtection="1">
      <alignment vertical="center" shrinkToFit="1"/>
    </xf>
    <xf numFmtId="182" fontId="19" fillId="5" borderId="117" xfId="0" applyNumberFormat="1" applyFont="1" applyFill="1" applyBorder="1" applyAlignment="1" applyProtection="1">
      <alignment horizontal="right" vertical="center" shrinkToFit="1"/>
    </xf>
    <xf numFmtId="182" fontId="19" fillId="6" borderId="33" xfId="0" applyNumberFormat="1" applyFont="1" applyFill="1" applyBorder="1" applyAlignment="1" applyProtection="1">
      <alignment horizontal="right" vertical="center" shrinkToFit="1"/>
      <protection locked="0"/>
    </xf>
    <xf numFmtId="182" fontId="19" fillId="5" borderId="33" xfId="0" applyNumberFormat="1" applyFont="1" applyFill="1" applyBorder="1" applyAlignment="1" applyProtection="1">
      <alignment horizontal="right" vertical="center" shrinkToFit="1"/>
    </xf>
    <xf numFmtId="10" fontId="19" fillId="6" borderId="63" xfId="1" applyNumberFormat="1" applyFont="1" applyFill="1" applyBorder="1" applyAlignment="1" applyProtection="1">
      <alignment horizontal="right" vertical="center" shrinkToFit="1"/>
      <protection locked="0"/>
    </xf>
    <xf numFmtId="182" fontId="37" fillId="5" borderId="117" xfId="0" applyNumberFormat="1" applyFont="1" applyFill="1" applyBorder="1" applyAlignment="1" applyProtection="1">
      <alignment horizontal="right" vertical="center" shrinkToFit="1"/>
    </xf>
    <xf numFmtId="182" fontId="37" fillId="5" borderId="33" xfId="0" applyNumberFormat="1" applyFont="1" applyFill="1" applyBorder="1" applyAlignment="1" applyProtection="1">
      <alignment horizontal="right" vertical="center" shrinkToFit="1"/>
    </xf>
    <xf numFmtId="182" fontId="37" fillId="6" borderId="118" xfId="0" applyNumberFormat="1" applyFont="1" applyFill="1" applyBorder="1" applyAlignment="1" applyProtection="1">
      <alignment horizontal="right" vertical="center" shrinkToFit="1"/>
      <protection locked="0"/>
    </xf>
    <xf numFmtId="182" fontId="37" fillId="5" borderId="119" xfId="0" applyNumberFormat="1" applyFont="1" applyFill="1" applyBorder="1" applyAlignment="1" applyProtection="1">
      <alignment horizontal="right" vertical="center" shrinkToFit="1"/>
    </xf>
    <xf numFmtId="182" fontId="37" fillId="5" borderId="4" xfId="0" applyNumberFormat="1" applyFont="1" applyFill="1" applyBorder="1" applyAlignment="1" applyProtection="1">
      <alignment horizontal="right" vertical="center" shrinkToFit="1"/>
    </xf>
    <xf numFmtId="182" fontId="19" fillId="5" borderId="118" xfId="0" applyNumberFormat="1" applyFont="1" applyFill="1" applyBorder="1" applyAlignment="1" applyProtection="1">
      <alignment horizontal="right" vertical="center" shrinkToFit="1"/>
    </xf>
    <xf numFmtId="182" fontId="19" fillId="5" borderId="119" xfId="0" applyNumberFormat="1" applyFont="1" applyFill="1" applyBorder="1" applyAlignment="1" applyProtection="1">
      <alignment horizontal="right" vertical="center" shrinkToFit="1"/>
    </xf>
    <xf numFmtId="182" fontId="19" fillId="5" borderId="120" xfId="0" applyNumberFormat="1" applyFont="1" applyFill="1" applyBorder="1" applyAlignment="1" applyProtection="1">
      <alignment horizontal="right" vertical="center" shrinkToFit="1"/>
    </xf>
    <xf numFmtId="10" fontId="19" fillId="5" borderId="121" xfId="1" applyNumberFormat="1" applyFont="1" applyFill="1" applyBorder="1" applyAlignment="1" applyProtection="1">
      <alignment horizontal="right" vertical="center" shrinkToFit="1"/>
    </xf>
    <xf numFmtId="0" fontId="20" fillId="5" borderId="120" xfId="0" applyFont="1" applyFill="1" applyBorder="1" applyAlignment="1" applyProtection="1">
      <alignment horizontal="center" shrinkToFit="1"/>
    </xf>
    <xf numFmtId="0" fontId="20" fillId="5" borderId="122" xfId="0" applyFont="1" applyFill="1" applyBorder="1" applyAlignment="1" applyProtection="1">
      <alignment horizontal="center" vertical="top" shrinkToFit="1"/>
    </xf>
    <xf numFmtId="182" fontId="2" fillId="5" borderId="27" xfId="0" applyNumberFormat="1" applyFont="1" applyFill="1" applyBorder="1" applyAlignment="1" applyProtection="1">
      <alignment horizontal="right" shrinkToFit="1"/>
    </xf>
    <xf numFmtId="182" fontId="2" fillId="5" borderId="33" xfId="0" applyNumberFormat="1" applyFont="1" applyFill="1" applyBorder="1" applyAlignment="1" applyProtection="1">
      <alignment horizontal="right" shrinkToFit="1"/>
    </xf>
    <xf numFmtId="182" fontId="20" fillId="8" borderId="38" xfId="2" applyNumberFormat="1" applyFont="1" applyFill="1" applyBorder="1" applyAlignment="1" applyProtection="1">
      <alignment horizontal="right" shrinkToFit="1"/>
    </xf>
    <xf numFmtId="182" fontId="2" fillId="5" borderId="43" xfId="0" applyNumberFormat="1" applyFont="1" applyFill="1" applyBorder="1" applyAlignment="1" applyProtection="1">
      <alignment horizontal="right" shrinkToFit="1"/>
    </xf>
    <xf numFmtId="182" fontId="20" fillId="8" borderId="53" xfId="2" applyNumberFormat="1" applyFont="1" applyFill="1" applyBorder="1" applyAlignment="1" applyProtection="1">
      <alignment horizontal="right" shrinkToFit="1"/>
    </xf>
    <xf numFmtId="182" fontId="2" fillId="5" borderId="58" xfId="0" applyNumberFormat="1" applyFont="1" applyFill="1" applyBorder="1" applyAlignment="1" applyProtection="1">
      <alignment horizontal="right" shrinkToFit="1"/>
    </xf>
    <xf numFmtId="182" fontId="20" fillId="8" borderId="63" xfId="2" applyNumberFormat="1" applyFont="1" applyFill="1" applyBorder="1" applyAlignment="1" applyProtection="1">
      <alignment horizontal="right" shrinkToFit="1"/>
    </xf>
    <xf numFmtId="182" fontId="37" fillId="5" borderId="117" xfId="0" applyNumberFormat="1" applyFont="1" applyFill="1" applyBorder="1" applyAlignment="1" applyProtection="1">
      <alignment vertical="center" shrinkToFit="1"/>
    </xf>
    <xf numFmtId="182" fontId="37" fillId="5" borderId="63" xfId="0" applyNumberFormat="1" applyFont="1" applyFill="1" applyBorder="1" applyAlignment="1" applyProtection="1">
      <alignment vertical="center" shrinkToFit="1"/>
    </xf>
    <xf numFmtId="187" fontId="37" fillId="5" borderId="4" xfId="0" applyNumberFormat="1" applyFont="1" applyFill="1" applyBorder="1" applyAlignment="1" applyProtection="1">
      <alignment vertical="center" shrinkToFit="1"/>
    </xf>
    <xf numFmtId="176" fontId="2" fillId="5" borderId="27" xfId="0" applyNumberFormat="1" applyFont="1" applyFill="1" applyBorder="1" applyAlignment="1" applyProtection="1">
      <alignment horizontal="center" vertical="center" shrinkToFit="1"/>
    </xf>
    <xf numFmtId="182" fontId="20" fillId="8" borderId="53" xfId="0" applyNumberFormat="1" applyFont="1" applyFill="1" applyBorder="1" applyAlignment="1" applyProtection="1">
      <alignment horizontal="right" shrinkToFit="1"/>
    </xf>
    <xf numFmtId="182" fontId="20" fillId="5" borderId="58" xfId="2" applyNumberFormat="1" applyFont="1" applyFill="1" applyBorder="1" applyAlignment="1" applyProtection="1">
      <alignment horizontal="right" shrinkToFit="1"/>
    </xf>
    <xf numFmtId="182" fontId="2" fillId="5" borderId="33" xfId="2" applyNumberFormat="1" applyFont="1" applyFill="1" applyBorder="1" applyAlignment="1" applyProtection="1">
      <alignment horizontal="right" shrinkToFit="1"/>
    </xf>
    <xf numFmtId="187" fontId="37" fillId="5" borderId="4" xfId="2" applyNumberFormat="1" applyFont="1" applyFill="1" applyBorder="1" applyAlignment="1" applyProtection="1">
      <alignment vertical="center" shrinkToFit="1"/>
    </xf>
    <xf numFmtId="176" fontId="2" fillId="5" borderId="93" xfId="0" applyNumberFormat="1" applyFont="1" applyFill="1" applyBorder="1" applyAlignment="1" applyProtection="1">
      <alignment horizontal="right"/>
      <protection locked="0"/>
    </xf>
    <xf numFmtId="176" fontId="2" fillId="6" borderId="115" xfId="0" applyNumberFormat="1" applyFont="1" applyFill="1" applyBorder="1" applyAlignment="1" applyProtection="1">
      <alignment horizontal="right"/>
      <protection locked="0"/>
    </xf>
    <xf numFmtId="0" fontId="20" fillId="5" borderId="123" xfId="0" applyFont="1" applyFill="1" applyBorder="1" applyAlignment="1" applyProtection="1">
      <alignment horizontal="center" vertical="center"/>
    </xf>
    <xf numFmtId="0" fontId="2" fillId="0" borderId="69" xfId="0" applyFont="1" applyFill="1" applyBorder="1" applyAlignment="1" applyProtection="1">
      <alignment horizontal="left" vertical="center" shrinkToFit="1"/>
    </xf>
    <xf numFmtId="0" fontId="0" fillId="0" borderId="96" xfId="0" applyBorder="1" applyAlignment="1">
      <alignment horizontal="left" vertical="center" shrinkToFit="1"/>
    </xf>
    <xf numFmtId="0" fontId="0" fillId="0" borderId="96" xfId="0" applyBorder="1" applyAlignment="1" applyProtection="1">
      <alignment horizontal="left" vertical="center" shrinkToFit="1"/>
    </xf>
    <xf numFmtId="0" fontId="0" fillId="0" borderId="97" xfId="0" applyBorder="1" applyAlignment="1">
      <alignment horizontal="left" vertical="center" shrinkToFit="1"/>
    </xf>
    <xf numFmtId="0" fontId="0" fillId="0" borderId="131" xfId="0" applyBorder="1" applyAlignment="1">
      <alignment horizontal="left" vertical="center" shrinkToFit="1"/>
    </xf>
    <xf numFmtId="0" fontId="0" fillId="0" borderId="1" xfId="0" applyBorder="1" applyAlignment="1">
      <alignment horizontal="left" vertical="center" shrinkToFit="1"/>
    </xf>
    <xf numFmtId="0" fontId="0" fillId="0" borderId="98" xfId="0" applyBorder="1" applyAlignment="1">
      <alignment horizontal="left" vertical="center" shrinkToFit="1"/>
    </xf>
    <xf numFmtId="0" fontId="0" fillId="0" borderId="124" xfId="0" applyBorder="1" applyAlignment="1">
      <alignment horizontal="left" vertical="top" wrapText="1"/>
    </xf>
    <xf numFmtId="0" fontId="0" fillId="0" borderId="125" xfId="0" applyBorder="1" applyAlignment="1">
      <alignment horizontal="left" vertical="top" wrapText="1"/>
    </xf>
    <xf numFmtId="0" fontId="0" fillId="0" borderId="104" xfId="0" applyBorder="1" applyAlignment="1">
      <alignment horizontal="left" vertical="top" wrapText="1"/>
    </xf>
    <xf numFmtId="0" fontId="0" fillId="0" borderId="126" xfId="0" applyBorder="1" applyAlignment="1">
      <alignment horizontal="left" vertical="top" wrapText="1"/>
    </xf>
    <xf numFmtId="0" fontId="0" fillId="0" borderId="127" xfId="0" applyBorder="1" applyAlignment="1">
      <alignment horizontal="left" vertical="top" wrapText="1"/>
    </xf>
    <xf numFmtId="0" fontId="0" fillId="0" borderId="128" xfId="0" applyBorder="1" applyAlignment="1">
      <alignment horizontal="left" vertical="top" wrapText="1"/>
    </xf>
    <xf numFmtId="0" fontId="1" fillId="6" borderId="11" xfId="0" applyNumberFormat="1" applyFont="1" applyFill="1" applyBorder="1" applyAlignment="1" applyProtection="1">
      <alignment horizontal="left" vertical="top" wrapText="1"/>
      <protection locked="0"/>
    </xf>
    <xf numFmtId="0" fontId="1" fillId="6" borderId="12" xfId="0" applyNumberFormat="1" applyFont="1" applyFill="1" applyBorder="1" applyAlignment="1" applyProtection="1">
      <alignment horizontal="left" vertical="top" wrapText="1"/>
      <protection locked="0"/>
    </xf>
    <xf numFmtId="0" fontId="1" fillId="6" borderId="13" xfId="0" applyNumberFormat="1" applyFont="1" applyFill="1" applyBorder="1" applyAlignment="1" applyProtection="1">
      <alignment horizontal="left" vertical="top" wrapText="1"/>
      <protection locked="0"/>
    </xf>
    <xf numFmtId="0" fontId="1" fillId="6" borderId="74" xfId="0" applyNumberFormat="1" applyFont="1" applyFill="1" applyBorder="1" applyAlignment="1" applyProtection="1">
      <alignment horizontal="left" vertical="top" wrapText="1"/>
      <protection locked="0"/>
    </xf>
    <xf numFmtId="0" fontId="1" fillId="6" borderId="0" xfId="0" applyNumberFormat="1" applyFont="1" applyFill="1" applyBorder="1" applyAlignment="1" applyProtection="1">
      <alignment horizontal="left" vertical="top" wrapText="1"/>
      <protection locked="0"/>
    </xf>
    <xf numFmtId="0" fontId="1" fillId="6" borderId="81" xfId="0" applyNumberFormat="1" applyFont="1" applyFill="1" applyBorder="1" applyAlignment="1" applyProtection="1">
      <alignment horizontal="left" vertical="top" wrapText="1"/>
      <protection locked="0"/>
    </xf>
    <xf numFmtId="0" fontId="1" fillId="6" borderId="20" xfId="0" applyNumberFormat="1" applyFont="1" applyFill="1" applyBorder="1" applyAlignment="1" applyProtection="1">
      <alignment horizontal="left" vertical="top" wrapText="1"/>
      <protection locked="0"/>
    </xf>
    <xf numFmtId="0" fontId="1" fillId="6" borderId="21" xfId="0" applyNumberFormat="1" applyFont="1" applyFill="1" applyBorder="1" applyAlignment="1" applyProtection="1">
      <alignment horizontal="left" vertical="top" wrapText="1"/>
      <protection locked="0"/>
    </xf>
    <xf numFmtId="0" fontId="1" fillId="6" borderId="22" xfId="0" applyNumberFormat="1" applyFont="1" applyFill="1" applyBorder="1" applyAlignment="1" applyProtection="1">
      <alignment horizontal="left" vertical="top" wrapText="1"/>
      <protection locked="0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7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81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129" xfId="0" applyBorder="1" applyAlignment="1">
      <alignment horizontal="left" vertical="top" wrapText="1"/>
    </xf>
    <xf numFmtId="0" fontId="0" fillId="0" borderId="130" xfId="0" applyBorder="1" applyAlignment="1">
      <alignment horizontal="left" vertical="top" wrapText="1"/>
    </xf>
    <xf numFmtId="0" fontId="0" fillId="0" borderId="65" xfId="0" applyBorder="1" applyAlignment="1">
      <alignment horizontal="left" vertical="top" wrapText="1"/>
    </xf>
    <xf numFmtId="0" fontId="0" fillId="9" borderId="90" xfId="0" applyFill="1" applyBorder="1" applyAlignment="1"/>
    <xf numFmtId="0" fontId="0" fillId="9" borderId="82" xfId="0" applyFill="1" applyBorder="1" applyAlignment="1"/>
    <xf numFmtId="0" fontId="0" fillId="9" borderId="31" xfId="0" applyFill="1" applyBorder="1" applyAlignment="1"/>
    <xf numFmtId="0" fontId="20" fillId="8" borderId="93" xfId="0" applyFont="1" applyFill="1" applyBorder="1" applyAlignment="1">
      <alignment horizontal="center"/>
    </xf>
    <xf numFmtId="0" fontId="20" fillId="8" borderId="94" xfId="0" applyFont="1" applyFill="1" applyBorder="1" applyAlignment="1">
      <alignment horizontal="center"/>
    </xf>
    <xf numFmtId="0" fontId="20" fillId="8" borderId="35" xfId="0" applyFont="1" applyFill="1" applyBorder="1" applyAlignment="1">
      <alignment horizontal="center"/>
    </xf>
    <xf numFmtId="0" fontId="20" fillId="8" borderId="36" xfId="0" applyFont="1" applyFill="1" applyBorder="1" applyAlignment="1">
      <alignment horizontal="center"/>
    </xf>
    <xf numFmtId="0" fontId="20" fillId="5" borderId="40" xfId="0" applyFont="1" applyFill="1" applyBorder="1" applyAlignment="1">
      <alignment horizontal="center"/>
    </xf>
    <xf numFmtId="0" fontId="20" fillId="5" borderId="41" xfId="0" applyFont="1" applyFill="1" applyBorder="1" applyAlignment="1">
      <alignment horizontal="center"/>
    </xf>
    <xf numFmtId="0" fontId="0" fillId="5" borderId="13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20" fillId="5" borderId="24" xfId="0" applyFont="1" applyFill="1" applyBorder="1" applyAlignment="1">
      <alignment horizontal="center"/>
    </xf>
    <xf numFmtId="176" fontId="0" fillId="5" borderId="27" xfId="0" applyNumberFormat="1" applyFont="1" applyFill="1" applyBorder="1" applyAlignment="1" applyProtection="1">
      <alignment horizontal="center" vertical="center" shrinkToFit="1"/>
    </xf>
  </cellXfs>
  <cellStyles count="5">
    <cellStyle name="パーセント" xfId="1" builtinId="5"/>
    <cellStyle name="桁区切り" xfId="2" builtinId="6"/>
    <cellStyle name="標準" xfId="0" builtinId="0"/>
    <cellStyle name="標準_サンプル説明書" xfId="3"/>
    <cellStyle name="未定義" xfId="4"/>
  </cellStyles>
  <dxfs count="4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0</xdr:rowOff>
    </xdr:from>
    <xdr:ext cx="104775" cy="228600"/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8924925" y="0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7</xdr:col>
      <xdr:colOff>152400</xdr:colOff>
      <xdr:row>0</xdr:row>
      <xdr:rowOff>0</xdr:rowOff>
    </xdr:from>
    <xdr:to>
      <xdr:col>7</xdr:col>
      <xdr:colOff>228600</xdr:colOff>
      <xdr:row>0</xdr:row>
      <xdr:rowOff>0</xdr:rowOff>
    </xdr:to>
    <xdr:sp macro="" textlink="">
      <xdr:nvSpPr>
        <xdr:cNvPr id="1046" name="Oval 22"/>
        <xdr:cNvSpPr>
          <a:spLocks noChangeArrowheads="1"/>
        </xdr:cNvSpPr>
      </xdr:nvSpPr>
      <xdr:spPr bwMode="auto">
        <a:xfrm>
          <a:off x="9077325" y="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7</xdr:col>
      <xdr:colOff>152400</xdr:colOff>
      <xdr:row>0</xdr:row>
      <xdr:rowOff>0</xdr:rowOff>
    </xdr:from>
    <xdr:to>
      <xdr:col>7</xdr:col>
      <xdr:colOff>228600</xdr:colOff>
      <xdr:row>0</xdr:row>
      <xdr:rowOff>0</xdr:rowOff>
    </xdr:to>
    <xdr:sp macro="" textlink="">
      <xdr:nvSpPr>
        <xdr:cNvPr id="1047" name="Oval 23"/>
        <xdr:cNvSpPr>
          <a:spLocks noChangeArrowheads="1"/>
        </xdr:cNvSpPr>
      </xdr:nvSpPr>
      <xdr:spPr bwMode="auto">
        <a:xfrm>
          <a:off x="9077325" y="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7</xdr:col>
      <xdr:colOff>152400</xdr:colOff>
      <xdr:row>0</xdr:row>
      <xdr:rowOff>0</xdr:rowOff>
    </xdr:from>
    <xdr:to>
      <xdr:col>7</xdr:col>
      <xdr:colOff>228600</xdr:colOff>
      <xdr:row>0</xdr:row>
      <xdr:rowOff>0</xdr:rowOff>
    </xdr:to>
    <xdr:sp macro="" textlink="">
      <xdr:nvSpPr>
        <xdr:cNvPr id="1048" name="Oval 24"/>
        <xdr:cNvSpPr>
          <a:spLocks noChangeArrowheads="1"/>
        </xdr:cNvSpPr>
      </xdr:nvSpPr>
      <xdr:spPr bwMode="auto">
        <a:xfrm>
          <a:off x="9077325" y="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7</xdr:col>
      <xdr:colOff>152400</xdr:colOff>
      <xdr:row>0</xdr:row>
      <xdr:rowOff>0</xdr:rowOff>
    </xdr:from>
    <xdr:to>
      <xdr:col>7</xdr:col>
      <xdr:colOff>228600</xdr:colOff>
      <xdr:row>0</xdr:row>
      <xdr:rowOff>0</xdr:rowOff>
    </xdr:to>
    <xdr:sp macro="" textlink="">
      <xdr:nvSpPr>
        <xdr:cNvPr id="1056" name="Oval 32"/>
        <xdr:cNvSpPr>
          <a:spLocks noChangeArrowheads="1"/>
        </xdr:cNvSpPr>
      </xdr:nvSpPr>
      <xdr:spPr bwMode="auto">
        <a:xfrm>
          <a:off x="9077325" y="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oneCellAnchor>
    <xdr:from>
      <xdr:col>7</xdr:col>
      <xdr:colOff>0</xdr:colOff>
      <xdr:row>0</xdr:row>
      <xdr:rowOff>0</xdr:rowOff>
    </xdr:from>
    <xdr:ext cx="104775" cy="228600"/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8924925" y="0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54</xdr:row>
      <xdr:rowOff>0</xdr:rowOff>
    </xdr:from>
    <xdr:ext cx="104775" cy="225425"/>
    <xdr:sp macro="" textlink="">
      <xdr:nvSpPr>
        <xdr:cNvPr id="1070" name="Text Box 46"/>
        <xdr:cNvSpPr txBox="1">
          <a:spLocks noChangeArrowheads="1"/>
        </xdr:cNvSpPr>
      </xdr:nvSpPr>
      <xdr:spPr bwMode="auto">
        <a:xfrm>
          <a:off x="8924925" y="9782175"/>
          <a:ext cx="104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54</xdr:row>
      <xdr:rowOff>0</xdr:rowOff>
    </xdr:from>
    <xdr:ext cx="104775" cy="225425"/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8924925" y="9782175"/>
          <a:ext cx="104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104775" cy="228600"/>
    <xdr:sp macro="" textlink="">
      <xdr:nvSpPr>
        <xdr:cNvPr id="10" name="Text Box 12"/>
        <xdr:cNvSpPr txBox="1">
          <a:spLocks noChangeArrowheads="1"/>
        </xdr:cNvSpPr>
      </xdr:nvSpPr>
      <xdr:spPr bwMode="auto">
        <a:xfrm>
          <a:off x="8940800" y="0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0</xdr:row>
      <xdr:rowOff>0</xdr:rowOff>
    </xdr:from>
    <xdr:ext cx="104775" cy="228600"/>
    <xdr:sp macro="" textlink="">
      <xdr:nvSpPr>
        <xdr:cNvPr id="11" name="Text Box 33"/>
        <xdr:cNvSpPr txBox="1">
          <a:spLocks noChangeArrowheads="1"/>
        </xdr:cNvSpPr>
      </xdr:nvSpPr>
      <xdr:spPr bwMode="auto">
        <a:xfrm>
          <a:off x="8940800" y="0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54</xdr:row>
      <xdr:rowOff>0</xdr:rowOff>
    </xdr:from>
    <xdr:ext cx="104775" cy="225425"/>
    <xdr:sp macro="" textlink="">
      <xdr:nvSpPr>
        <xdr:cNvPr id="12" name="Text Box 46"/>
        <xdr:cNvSpPr txBox="1">
          <a:spLocks noChangeArrowheads="1"/>
        </xdr:cNvSpPr>
      </xdr:nvSpPr>
      <xdr:spPr bwMode="auto">
        <a:xfrm>
          <a:off x="8940800" y="10058400"/>
          <a:ext cx="104775" cy="225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54</xdr:row>
      <xdr:rowOff>0</xdr:rowOff>
    </xdr:from>
    <xdr:ext cx="104775" cy="225425"/>
    <xdr:sp macro="" textlink="">
      <xdr:nvSpPr>
        <xdr:cNvPr id="13" name="Text Box 47"/>
        <xdr:cNvSpPr txBox="1">
          <a:spLocks noChangeArrowheads="1"/>
        </xdr:cNvSpPr>
      </xdr:nvSpPr>
      <xdr:spPr bwMode="auto">
        <a:xfrm>
          <a:off x="8940800" y="10058400"/>
          <a:ext cx="104775" cy="225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nsv\kensv\FDC\&#65318;&#65316;&#65315;&#12288;&#35519;&#21619;&#26009;&#12464;&#12523;&#12540;&#12503;\01.&#12510;&#12520;&#12539;&#12489;&#12524;&#12464;&#12523;&#12540;&#12503;&#20849;&#36890;\01.&#21830;&#21697;&#38283;&#30330;&#12503;&#12525;&#12475;&#12473;\06.&#35069;&#27861;&#38306;&#36899;&#36039;&#26009;\11.&#37197;&#21512;&#20316;&#25104;\&#34920;&#31034;&#12481;&#12455;&#12483;&#12463;&#12522;&#12473;&#12488;(&#21407;&#32025;&#6528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ic-sv\Kyotu\&#65321;&#65331;&#65327;&#65305;&#65296;&#65296;&#65297;&#36039;&#26009;\&#65319;&#65331;&#65298;\KS@40289(&#22806;&#22269;&#20154;&#23601;&#26989;&#31649;&#29702;&#12471;&#12473;&#12486;&#12512;&#12398;&#38283;&#30330;)\&#35373;&#35336;&#12539;&#38283;&#30330;\04&#65404;&#65405;&#65411;&#65425;&#27083;&#36896;&#35373;&#35336;(SS)\&#30011;&#38754;&#20181;&#27096;&#26360;\&#29289;&#20214;&#32057;&#20171;&#29366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icsv\kyotu\&#21508;&#31278;&#29992;&#32025;\&#12471;&#12473;&#12486;&#12512;&#38283;&#30330;&#29992;&#24115;&#31080;\QP@50999_&#9675;&#9675;&#9675;\02&#12471;&#12473;&#12486;&#12512;&#35373;&#35336;(SA)\&#20986;&#24373;&#30003;&#35531;&#26360;&#65288;&#20837;&#21147;&#6528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ic-sv\syss\Project\MitsuiNorin\020325_&#65325;&#65327;&#65328;&#31532;&#65299;&#12501;&#12455;&#12540;&#12474;\&#36039;&#26009;\&#35373;&#35336;&#26360;\&#26032;&#35215;&#8545;\&#20986;&#24373;&#30003;&#35531;&#26360;&#65288;&#20837;&#21147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表示案"/>
      <sheetName val="略配合提出書式"/>
      <sheetName val="ＭＤＢ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物件紹介（印刷）"/>
      <sheetName val="比較"/>
      <sheetName val="HA23_ｽﾚｯﾄﾞ"/>
      <sheetName val="HA23_ｽﾚｯﾄﾞ2"/>
      <sheetName val="HA23_ﾒﾓﾘ1"/>
      <sheetName val="HA23_ﾒﾓﾘ2"/>
      <sheetName val="HA22_ｽﾚｯﾄﾞ"/>
      <sheetName val="HA22_ｽﾚｯﾄ2"/>
      <sheetName val="HA22_ﾋｰﾌﾟ"/>
      <sheetName val="HA22_ﾋｰﾌﾟ2"/>
      <sheetName val="表紙"/>
      <sheetName val="変更履歴"/>
      <sheetName val="スケジュール"/>
      <sheetName val="スケジュール(個人別)"/>
      <sheetName val="人繰"/>
      <sheetName val="運用手順"/>
      <sheetName val="初期設定"/>
      <sheetName val="祭日設定"/>
      <sheetName val="プロジェクト設定"/>
      <sheetName val="#REF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画面仕様"/>
      <sheetName val="Sheet1"/>
      <sheetName val="Sheet2"/>
      <sheetName val="Sheet3"/>
      <sheetName val="#REF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画面仕様"/>
      <sheetName val="Sheet1"/>
      <sheetName val="Sheet2"/>
      <sheetName val="Sheet3"/>
      <sheetName val="#REF"/>
    </sheetNames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300"/>
  <sheetViews>
    <sheetView showGridLines="0" tabSelected="1" showOutlineSymbols="0" zoomScale="75" zoomScaleNormal="75" zoomScaleSheetLayoutView="50" workbookViewId="0"/>
  </sheetViews>
  <sheetFormatPr defaultRowHeight="13.5" x14ac:dyDescent="0.15"/>
  <cols>
    <col min="1" max="1" width="1.125" style="241" customWidth="1"/>
    <col min="2" max="2" width="9.125" style="2" customWidth="1"/>
    <col min="3" max="3" width="16.625" style="1" hidden="1" customWidth="1"/>
    <col min="4" max="4" width="17.625" style="1" customWidth="1"/>
    <col min="5" max="5" width="64.375" style="1" customWidth="1"/>
    <col min="6" max="6" width="14.125" style="1" customWidth="1"/>
    <col min="7" max="7" width="10.75" style="1" customWidth="1"/>
    <col min="8" max="8" width="18.125" style="1" customWidth="1"/>
    <col min="9" max="9" width="23.625" style="1" customWidth="1"/>
    <col min="10" max="10" width="6.625" style="1" customWidth="1"/>
    <col min="11" max="11" width="18.125" style="1" customWidth="1"/>
    <col min="12" max="12" width="23.625" style="1" customWidth="1"/>
    <col min="13" max="13" width="6.625" style="1" customWidth="1"/>
    <col min="14" max="14" width="18.125" style="1" customWidth="1"/>
    <col min="15" max="15" width="23.625" style="1" customWidth="1"/>
    <col min="16" max="16" width="6.625" style="1" customWidth="1"/>
    <col min="17" max="17" width="37.25" style="1" customWidth="1"/>
    <col min="18" max="18" width="7.125" style="1" customWidth="1"/>
    <col min="19" max="19" width="23.75" style="1" customWidth="1"/>
    <col min="20" max="20" width="5.25" style="1" customWidth="1"/>
    <col min="21" max="21" width="23.75" style="1" customWidth="1"/>
    <col min="22" max="22" width="5.25" style="1" customWidth="1"/>
    <col min="23" max="23" width="23.75" style="17" customWidth="1"/>
    <col min="24" max="24" width="4.875" style="17" customWidth="1"/>
    <col min="25" max="16384" width="9" style="1"/>
  </cols>
  <sheetData>
    <row r="1" spans="1:24" ht="30" customHeight="1" x14ac:dyDescent="0.2">
      <c r="A1" s="244"/>
      <c r="B1" s="11" t="s">
        <v>372</v>
      </c>
      <c r="C1" s="10"/>
      <c r="D1" s="10"/>
      <c r="E1" s="12" t="s">
        <v>233</v>
      </c>
      <c r="F1" s="13" t="s">
        <v>319</v>
      </c>
      <c r="G1" s="14"/>
      <c r="H1" s="15"/>
      <c r="I1" s="393"/>
      <c r="J1" s="393"/>
      <c r="K1" s="16">
        <f>I1</f>
        <v>0</v>
      </c>
      <c r="N1" s="17"/>
      <c r="O1" s="17"/>
      <c r="P1" s="17"/>
      <c r="Q1" s="17"/>
      <c r="R1" s="18"/>
      <c r="W1" s="19" t="s">
        <v>334</v>
      </c>
      <c r="X1" s="19"/>
    </row>
    <row r="2" spans="1:24" ht="45" customHeight="1" thickBot="1" x14ac:dyDescent="0.35">
      <c r="A2" s="244"/>
      <c r="B2" s="20" t="s">
        <v>234</v>
      </c>
      <c r="D2" s="21"/>
      <c r="E2" s="21"/>
      <c r="F2" s="21"/>
      <c r="G2" s="21"/>
      <c r="H2" s="21"/>
      <c r="I2" s="394"/>
      <c r="J2" s="394"/>
      <c r="K2" s="22"/>
      <c r="L2" s="23"/>
      <c r="M2" s="23"/>
      <c r="N2" s="24"/>
      <c r="O2" s="25"/>
      <c r="P2" s="25"/>
      <c r="Q2" s="26" t="s">
        <v>235</v>
      </c>
      <c r="R2" s="27"/>
      <c r="S2" s="27"/>
      <c r="T2" s="27"/>
      <c r="U2" s="27"/>
      <c r="V2" s="27"/>
      <c r="W2" s="236"/>
      <c r="X2" s="236"/>
    </row>
    <row r="3" spans="1:24" ht="15.75" customHeight="1" thickTop="1" thickBot="1" x14ac:dyDescent="0.2">
      <c r="A3" s="244"/>
      <c r="B3" s="28"/>
      <c r="D3" s="29"/>
      <c r="E3" s="30"/>
      <c r="F3" s="30"/>
      <c r="G3" s="31"/>
      <c r="I3" s="32"/>
      <c r="J3" s="32"/>
      <c r="K3" s="33"/>
      <c r="L3" s="34"/>
      <c r="M3" s="34"/>
      <c r="Q3" s="27"/>
      <c r="R3" s="35"/>
      <c r="S3" s="27"/>
      <c r="T3" s="27"/>
      <c r="U3" s="27"/>
      <c r="V3" s="27"/>
      <c r="W3" s="236"/>
      <c r="X3" s="236"/>
    </row>
    <row r="4" spans="1:24" ht="18" customHeight="1" thickBot="1" x14ac:dyDescent="0.25">
      <c r="A4" s="244"/>
      <c r="B4" s="36"/>
      <c r="D4" s="37" t="s">
        <v>236</v>
      </c>
      <c r="E4" s="38"/>
      <c r="F4" s="39" t="s">
        <v>237</v>
      </c>
      <c r="G4" s="40"/>
      <c r="Q4" s="41" t="s">
        <v>238</v>
      </c>
      <c r="R4" s="42"/>
      <c r="S4" s="41" t="s">
        <v>239</v>
      </c>
      <c r="T4" s="41"/>
      <c r="U4" s="41" t="s">
        <v>240</v>
      </c>
      <c r="V4" s="41"/>
      <c r="W4" s="313" t="s">
        <v>241</v>
      </c>
      <c r="X4" s="313"/>
    </row>
    <row r="5" spans="1:24" ht="4.5" customHeight="1" thickBot="1" x14ac:dyDescent="0.2">
      <c r="A5" s="244"/>
      <c r="B5" s="43"/>
      <c r="C5" s="44"/>
      <c r="D5" s="45"/>
      <c r="E5" s="46"/>
      <c r="F5" s="44"/>
      <c r="G5" s="47"/>
      <c r="H5" s="44"/>
      <c r="I5" s="44"/>
      <c r="J5" s="44"/>
      <c r="K5" s="44"/>
      <c r="L5" s="44"/>
      <c r="M5" s="44"/>
      <c r="N5" s="44"/>
      <c r="O5" s="44"/>
      <c r="P5" s="44"/>
      <c r="Q5" s="48"/>
      <c r="R5" s="49"/>
      <c r="S5" s="314"/>
      <c r="T5" s="314"/>
      <c r="U5" s="314"/>
      <c r="V5" s="314"/>
      <c r="W5" s="315"/>
      <c r="X5" s="315"/>
    </row>
    <row r="6" spans="1:24" ht="21" customHeight="1" thickBot="1" x14ac:dyDescent="0.25">
      <c r="A6" s="244"/>
      <c r="B6" s="50"/>
      <c r="D6" s="51" t="s">
        <v>242</v>
      </c>
      <c r="E6" s="38"/>
      <c r="F6" s="52" t="s">
        <v>243</v>
      </c>
      <c r="G6" s="34"/>
      <c r="K6" s="38"/>
      <c r="L6" s="34"/>
      <c r="M6" s="34"/>
      <c r="Q6" s="333"/>
      <c r="R6" s="53"/>
      <c r="S6" s="333"/>
      <c r="T6" s="54"/>
      <c r="U6" s="334"/>
      <c r="V6" s="55"/>
      <c r="W6" s="56"/>
      <c r="X6" s="56"/>
    </row>
    <row r="7" spans="1:24" ht="4.5" customHeight="1" x14ac:dyDescent="0.15">
      <c r="A7" s="244"/>
      <c r="B7" s="57"/>
      <c r="C7" s="37"/>
      <c r="E7" s="38"/>
      <c r="F7" s="57"/>
      <c r="G7" s="34"/>
      <c r="I7" s="52"/>
      <c r="J7" s="52"/>
      <c r="K7" s="38"/>
      <c r="L7" s="34"/>
      <c r="M7" s="34"/>
      <c r="R7" s="33"/>
    </row>
    <row r="8" spans="1:24" ht="14.25" customHeight="1" x14ac:dyDescent="0.15">
      <c r="A8" s="244"/>
      <c r="B8" s="49" t="s">
        <v>244</v>
      </c>
      <c r="E8" s="58"/>
      <c r="F8" s="39" t="s">
        <v>245</v>
      </c>
      <c r="G8" s="59"/>
      <c r="H8" s="60"/>
      <c r="I8" s="60"/>
      <c r="J8" s="60"/>
      <c r="K8" s="17"/>
      <c r="L8" s="17"/>
      <c r="M8" s="17"/>
      <c r="N8" s="17"/>
      <c r="O8" s="17"/>
      <c r="P8" s="17"/>
      <c r="Q8" s="17"/>
      <c r="R8" s="17"/>
    </row>
    <row r="9" spans="1:24" ht="4.5" customHeight="1" x14ac:dyDescent="0.15">
      <c r="A9" s="244"/>
      <c r="B9" s="1"/>
      <c r="D9" s="61"/>
      <c r="E9" s="61"/>
      <c r="F9" s="61"/>
      <c r="G9" s="61"/>
      <c r="I9" s="61"/>
      <c r="J9" s="61"/>
      <c r="K9" s="61"/>
      <c r="L9" s="17"/>
      <c r="M9" s="17"/>
      <c r="N9" s="17"/>
      <c r="O9" s="17"/>
      <c r="P9" s="17"/>
      <c r="Q9" s="17"/>
      <c r="R9" s="17"/>
    </row>
    <row r="10" spans="1:24" ht="13.5" customHeight="1" x14ac:dyDescent="0.15">
      <c r="A10" s="244"/>
      <c r="C10" s="62"/>
      <c r="D10" s="38"/>
      <c r="E10" s="38"/>
      <c r="F10" s="52" t="s">
        <v>246</v>
      </c>
      <c r="G10" s="63"/>
      <c r="I10" s="64"/>
      <c r="J10" s="64"/>
      <c r="K10" s="52"/>
      <c r="L10" s="52"/>
      <c r="M10" s="52"/>
      <c r="N10" s="52"/>
      <c r="O10" s="52"/>
      <c r="P10" s="52"/>
      <c r="Q10" s="52"/>
      <c r="R10" s="17"/>
    </row>
    <row r="11" spans="1:24" ht="13.5" customHeight="1" x14ac:dyDescent="0.15">
      <c r="A11" s="244"/>
      <c r="C11" s="65"/>
      <c r="D11" s="38" t="str">
        <f>IF(C11="","",INDEX(B141:B151,C11,1))</f>
        <v/>
      </c>
      <c r="E11" s="38" t="str">
        <f>IF(D11="","",INDEX(C141:C151,D11,1))</f>
        <v/>
      </c>
      <c r="F11" s="66" t="s">
        <v>247</v>
      </c>
      <c r="G11" s="63"/>
      <c r="I11" s="64"/>
      <c r="J11" s="64"/>
      <c r="K11" s="52"/>
      <c r="L11" s="52"/>
      <c r="M11" s="52"/>
      <c r="N11" s="52"/>
      <c r="O11" s="52"/>
      <c r="P11" s="52"/>
      <c r="Q11" s="52"/>
      <c r="R11" s="17"/>
    </row>
    <row r="12" spans="1:24" ht="14.25" customHeight="1" thickBot="1" x14ac:dyDescent="0.2">
      <c r="A12" s="244"/>
      <c r="B12" s="52"/>
      <c r="F12" s="38"/>
      <c r="G12" s="63"/>
      <c r="H12" s="67"/>
      <c r="I12" s="64"/>
      <c r="J12" s="64"/>
      <c r="K12" s="52"/>
      <c r="L12" s="52"/>
      <c r="M12" s="52"/>
      <c r="N12" s="52"/>
      <c r="O12" s="52"/>
      <c r="P12" s="52"/>
      <c r="Q12" s="52"/>
      <c r="R12" s="17"/>
    </row>
    <row r="13" spans="1:24" ht="15.75" customHeight="1" x14ac:dyDescent="0.15">
      <c r="A13" s="244"/>
      <c r="B13" s="68"/>
      <c r="C13" s="69" t="s">
        <v>248</v>
      </c>
      <c r="D13" s="70" t="s">
        <v>249</v>
      </c>
      <c r="E13" s="71" t="s">
        <v>250</v>
      </c>
      <c r="F13" s="72" t="s">
        <v>251</v>
      </c>
      <c r="G13" s="73" t="s">
        <v>252</v>
      </c>
      <c r="H13" s="354" t="s">
        <v>91</v>
      </c>
      <c r="I13" s="387"/>
      <c r="J13" s="418"/>
      <c r="K13" s="354" t="s">
        <v>91</v>
      </c>
      <c r="L13" s="387"/>
      <c r="M13" s="418"/>
      <c r="N13" s="354" t="s">
        <v>91</v>
      </c>
      <c r="O13" s="387"/>
      <c r="P13" s="418"/>
      <c r="Q13" s="74" t="s">
        <v>253</v>
      </c>
      <c r="R13" s="75"/>
      <c r="S13" s="76"/>
      <c r="T13" s="77"/>
      <c r="U13" s="77" t="s">
        <v>335</v>
      </c>
      <c r="V13" s="78"/>
      <c r="W13" s="78"/>
      <c r="X13" s="79"/>
    </row>
    <row r="14" spans="1:24" ht="15.75" customHeight="1" thickBot="1" x14ac:dyDescent="0.2">
      <c r="A14" s="244"/>
      <c r="B14" s="80"/>
      <c r="C14" s="81" t="s">
        <v>254</v>
      </c>
      <c r="D14" s="82" t="s">
        <v>255</v>
      </c>
      <c r="E14" s="82"/>
      <c r="F14" s="83" t="s">
        <v>256</v>
      </c>
      <c r="G14" s="84"/>
      <c r="H14" s="85" t="s">
        <v>257</v>
      </c>
      <c r="I14" s="365" t="s">
        <v>258</v>
      </c>
      <c r="J14" s="419"/>
      <c r="K14" s="85" t="s">
        <v>296</v>
      </c>
      <c r="L14" s="365" t="s">
        <v>258</v>
      </c>
      <c r="M14" s="419"/>
      <c r="N14" s="85" t="s">
        <v>296</v>
      </c>
      <c r="O14" s="365" t="s">
        <v>258</v>
      </c>
      <c r="P14" s="419"/>
      <c r="Q14" s="86" t="s">
        <v>297</v>
      </c>
      <c r="R14" s="75"/>
      <c r="S14" s="87"/>
      <c r="T14" s="88"/>
      <c r="U14" s="88" t="s">
        <v>259</v>
      </c>
      <c r="V14" s="89"/>
      <c r="W14" s="89"/>
      <c r="X14" s="90"/>
    </row>
    <row r="15" spans="1:24" ht="14.25" customHeight="1" thickTop="1" x14ac:dyDescent="0.15">
      <c r="A15" s="244"/>
      <c r="B15" s="91"/>
      <c r="C15" s="92"/>
      <c r="D15" s="93" t="s">
        <v>260</v>
      </c>
      <c r="E15" s="93" t="s">
        <v>261</v>
      </c>
      <c r="F15" s="94"/>
      <c r="G15" s="95"/>
      <c r="H15" s="96"/>
      <c r="I15" s="395"/>
      <c r="J15" s="420"/>
      <c r="K15" s="96"/>
      <c r="L15" s="372"/>
      <c r="M15" s="430"/>
      <c r="N15" s="96"/>
      <c r="O15" s="372"/>
      <c r="P15" s="485"/>
      <c r="Q15" s="97"/>
      <c r="R15" s="98"/>
      <c r="S15" s="438"/>
      <c r="T15" s="439"/>
      <c r="U15" s="440"/>
      <c r="V15" s="439"/>
      <c r="W15" s="439"/>
      <c r="X15" s="441"/>
    </row>
    <row r="16" spans="1:24" ht="13.5" customHeight="1" x14ac:dyDescent="0.15">
      <c r="A16" s="244"/>
      <c r="B16" s="99" t="s">
        <v>262</v>
      </c>
      <c r="C16" s="100"/>
      <c r="D16" s="101"/>
      <c r="E16" s="102"/>
      <c r="F16" s="103"/>
      <c r="G16" s="104"/>
      <c r="H16" s="105"/>
      <c r="I16" s="369" t="str">
        <f>IF($H16="","",F16*H16/G16)</f>
        <v/>
      </c>
      <c r="J16" s="421"/>
      <c r="K16" s="105"/>
      <c r="L16" s="369" t="str">
        <f>IF($K16="","",F16*K16/G16)</f>
        <v/>
      </c>
      <c r="M16" s="421"/>
      <c r="N16" s="105"/>
      <c r="O16" s="369" t="str">
        <f t="shared" ref="O16:O54" si="0">IF($N16="","",F16*N16/G16)</f>
        <v/>
      </c>
      <c r="P16" s="421"/>
      <c r="Q16" s="106"/>
      <c r="R16" s="107"/>
      <c r="S16" s="442"/>
      <c r="T16" s="443"/>
      <c r="U16" s="443"/>
      <c r="V16" s="443"/>
      <c r="W16" s="443"/>
      <c r="X16" s="444"/>
    </row>
    <row r="17" spans="1:24" ht="12.75" customHeight="1" x14ac:dyDescent="0.15">
      <c r="A17" s="244"/>
      <c r="B17" s="99" t="s">
        <v>92</v>
      </c>
      <c r="C17" s="100"/>
      <c r="D17" s="101"/>
      <c r="E17" s="102"/>
      <c r="F17" s="103"/>
      <c r="G17" s="104"/>
      <c r="H17" s="105"/>
      <c r="I17" s="369" t="str">
        <f t="shared" ref="I17:I54" si="1">IF($H17="","",F17*H17/G17)</f>
        <v/>
      </c>
      <c r="J17" s="421"/>
      <c r="K17" s="105"/>
      <c r="L17" s="369" t="str">
        <f t="shared" ref="L17:L54" si="2">IF($K17="","",F17*K17/G17)</f>
        <v/>
      </c>
      <c r="M17" s="421"/>
      <c r="N17" s="105"/>
      <c r="O17" s="369" t="str">
        <f t="shared" si="0"/>
        <v/>
      </c>
      <c r="P17" s="421"/>
      <c r="Q17" s="106"/>
      <c r="R17" s="107"/>
      <c r="S17" s="468"/>
      <c r="T17" s="445"/>
      <c r="U17" s="445"/>
      <c r="V17" s="445"/>
      <c r="W17" s="445"/>
      <c r="X17" s="446"/>
    </row>
    <row r="18" spans="1:24" ht="13.5" customHeight="1" x14ac:dyDescent="0.15">
      <c r="A18" s="244"/>
      <c r="B18" s="99" t="s">
        <v>93</v>
      </c>
      <c r="C18" s="100"/>
      <c r="D18" s="101"/>
      <c r="E18" s="102"/>
      <c r="F18" s="103"/>
      <c r="G18" s="104"/>
      <c r="H18" s="105"/>
      <c r="I18" s="369" t="str">
        <f t="shared" si="1"/>
        <v/>
      </c>
      <c r="J18" s="421"/>
      <c r="K18" s="105"/>
      <c r="L18" s="369" t="str">
        <f t="shared" si="2"/>
        <v/>
      </c>
      <c r="M18" s="421"/>
      <c r="N18" s="105"/>
      <c r="O18" s="369" t="str">
        <f t="shared" si="0"/>
        <v/>
      </c>
      <c r="P18" s="421"/>
      <c r="Q18" s="106"/>
      <c r="R18" s="107"/>
      <c r="S18" s="469"/>
      <c r="T18" s="447"/>
      <c r="U18" s="447"/>
      <c r="V18" s="447"/>
      <c r="W18" s="447"/>
      <c r="X18" s="448"/>
    </row>
    <row r="19" spans="1:24" ht="13.5" customHeight="1" x14ac:dyDescent="0.15">
      <c r="A19" s="244"/>
      <c r="B19" s="99" t="s">
        <v>94</v>
      </c>
      <c r="C19" s="100"/>
      <c r="D19" s="101"/>
      <c r="E19" s="102"/>
      <c r="F19" s="103"/>
      <c r="G19" s="104"/>
      <c r="H19" s="105"/>
      <c r="I19" s="369" t="str">
        <f t="shared" si="1"/>
        <v/>
      </c>
      <c r="J19" s="421"/>
      <c r="K19" s="105"/>
      <c r="L19" s="369" t="str">
        <f t="shared" si="2"/>
        <v/>
      </c>
      <c r="M19" s="421"/>
      <c r="N19" s="105"/>
      <c r="O19" s="369" t="str">
        <f t="shared" si="0"/>
        <v/>
      </c>
      <c r="P19" s="421"/>
      <c r="Q19" s="106"/>
      <c r="R19" s="107"/>
      <c r="S19" s="469"/>
      <c r="T19" s="447"/>
      <c r="U19" s="447"/>
      <c r="V19" s="447"/>
      <c r="W19" s="447"/>
      <c r="X19" s="448"/>
    </row>
    <row r="20" spans="1:24" ht="13.5" customHeight="1" x14ac:dyDescent="0.15">
      <c r="A20" s="244"/>
      <c r="B20" s="99" t="s">
        <v>95</v>
      </c>
      <c r="C20" s="100"/>
      <c r="D20" s="101"/>
      <c r="E20" s="102"/>
      <c r="F20" s="103"/>
      <c r="G20" s="104"/>
      <c r="H20" s="105"/>
      <c r="I20" s="369" t="str">
        <f t="shared" si="1"/>
        <v/>
      </c>
      <c r="J20" s="421"/>
      <c r="K20" s="105"/>
      <c r="L20" s="369" t="str">
        <f t="shared" si="2"/>
        <v/>
      </c>
      <c r="M20" s="421"/>
      <c r="N20" s="105"/>
      <c r="O20" s="369" t="str">
        <f t="shared" si="0"/>
        <v/>
      </c>
      <c r="P20" s="421"/>
      <c r="Q20" s="106"/>
      <c r="R20" s="107"/>
      <c r="S20" s="469"/>
      <c r="T20" s="447"/>
      <c r="U20" s="447"/>
      <c r="V20" s="447"/>
      <c r="W20" s="447"/>
      <c r="X20" s="448"/>
    </row>
    <row r="21" spans="1:24" ht="13.5" customHeight="1" x14ac:dyDescent="0.15">
      <c r="A21" s="244"/>
      <c r="B21" s="99" t="s">
        <v>96</v>
      </c>
      <c r="C21" s="100"/>
      <c r="D21" s="101"/>
      <c r="E21" s="102"/>
      <c r="F21" s="103"/>
      <c r="G21" s="104"/>
      <c r="H21" s="105"/>
      <c r="I21" s="369" t="str">
        <f t="shared" si="1"/>
        <v/>
      </c>
      <c r="J21" s="421"/>
      <c r="K21" s="105"/>
      <c r="L21" s="369" t="str">
        <f t="shared" si="2"/>
        <v/>
      </c>
      <c r="M21" s="421"/>
      <c r="N21" s="105"/>
      <c r="O21" s="369" t="str">
        <f t="shared" si="0"/>
        <v/>
      </c>
      <c r="P21" s="421"/>
      <c r="Q21" s="106"/>
      <c r="R21" s="107"/>
      <c r="S21" s="469"/>
      <c r="T21" s="447"/>
      <c r="U21" s="447"/>
      <c r="V21" s="447"/>
      <c r="W21" s="447"/>
      <c r="X21" s="448"/>
    </row>
    <row r="22" spans="1:24" ht="13.5" customHeight="1" x14ac:dyDescent="0.15">
      <c r="A22" s="244"/>
      <c r="B22" s="99" t="s">
        <v>97</v>
      </c>
      <c r="C22" s="100"/>
      <c r="D22" s="101"/>
      <c r="E22" s="102"/>
      <c r="F22" s="103"/>
      <c r="G22" s="104"/>
      <c r="H22" s="105"/>
      <c r="I22" s="369" t="str">
        <f t="shared" si="1"/>
        <v/>
      </c>
      <c r="J22" s="421"/>
      <c r="K22" s="105"/>
      <c r="L22" s="369" t="str">
        <f t="shared" si="2"/>
        <v/>
      </c>
      <c r="M22" s="421"/>
      <c r="N22" s="105"/>
      <c r="O22" s="369" t="str">
        <f t="shared" si="0"/>
        <v/>
      </c>
      <c r="P22" s="421"/>
      <c r="Q22" s="106"/>
      <c r="R22" s="107"/>
      <c r="S22" s="469"/>
      <c r="T22" s="447"/>
      <c r="U22" s="447"/>
      <c r="V22" s="447"/>
      <c r="W22" s="447"/>
      <c r="X22" s="448"/>
    </row>
    <row r="23" spans="1:24" ht="13.5" customHeight="1" x14ac:dyDescent="0.15">
      <c r="A23" s="244"/>
      <c r="B23" s="99" t="s">
        <v>98</v>
      </c>
      <c r="C23" s="100"/>
      <c r="D23" s="101"/>
      <c r="E23" s="102"/>
      <c r="F23" s="103"/>
      <c r="G23" s="104"/>
      <c r="H23" s="105"/>
      <c r="I23" s="369" t="str">
        <f t="shared" si="1"/>
        <v/>
      </c>
      <c r="J23" s="421"/>
      <c r="K23" s="105"/>
      <c r="L23" s="369" t="str">
        <f t="shared" si="2"/>
        <v/>
      </c>
      <c r="M23" s="421"/>
      <c r="N23" s="105"/>
      <c r="O23" s="369" t="str">
        <f t="shared" si="0"/>
        <v/>
      </c>
      <c r="P23" s="421"/>
      <c r="Q23" s="106"/>
      <c r="R23" s="107"/>
      <c r="S23" s="469"/>
      <c r="T23" s="447"/>
      <c r="U23" s="447"/>
      <c r="V23" s="447"/>
      <c r="W23" s="447"/>
      <c r="X23" s="448"/>
    </row>
    <row r="24" spans="1:24" ht="13.5" customHeight="1" x14ac:dyDescent="0.15">
      <c r="A24" s="244"/>
      <c r="B24" s="99" t="s">
        <v>99</v>
      </c>
      <c r="C24" s="100"/>
      <c r="D24" s="101"/>
      <c r="E24" s="102"/>
      <c r="F24" s="103"/>
      <c r="G24" s="104"/>
      <c r="H24" s="105"/>
      <c r="I24" s="369" t="str">
        <f t="shared" si="1"/>
        <v/>
      </c>
      <c r="J24" s="421"/>
      <c r="K24" s="105"/>
      <c r="L24" s="369" t="str">
        <f t="shared" si="2"/>
        <v/>
      </c>
      <c r="M24" s="421"/>
      <c r="N24" s="105"/>
      <c r="O24" s="369" t="str">
        <f t="shared" si="0"/>
        <v/>
      </c>
      <c r="P24" s="421"/>
      <c r="Q24" s="106"/>
      <c r="R24" s="107"/>
      <c r="S24" s="469"/>
      <c r="T24" s="447"/>
      <c r="U24" s="447"/>
      <c r="V24" s="447"/>
      <c r="W24" s="447"/>
      <c r="X24" s="448"/>
    </row>
    <row r="25" spans="1:24" ht="13.5" customHeight="1" x14ac:dyDescent="0.15">
      <c r="A25" s="244"/>
      <c r="B25" s="99" t="s">
        <v>100</v>
      </c>
      <c r="C25" s="100"/>
      <c r="D25" s="101"/>
      <c r="E25" s="102"/>
      <c r="F25" s="103"/>
      <c r="G25" s="104"/>
      <c r="H25" s="105"/>
      <c r="I25" s="369" t="str">
        <f t="shared" si="1"/>
        <v/>
      </c>
      <c r="J25" s="421"/>
      <c r="K25" s="105"/>
      <c r="L25" s="369" t="str">
        <f t="shared" si="2"/>
        <v/>
      </c>
      <c r="M25" s="421"/>
      <c r="N25" s="105"/>
      <c r="O25" s="369" t="str">
        <f t="shared" si="0"/>
        <v/>
      </c>
      <c r="P25" s="421"/>
      <c r="Q25" s="106"/>
      <c r="R25" s="107"/>
      <c r="S25" s="469"/>
      <c r="T25" s="447"/>
      <c r="U25" s="447"/>
      <c r="V25" s="447"/>
      <c r="W25" s="447"/>
      <c r="X25" s="448"/>
    </row>
    <row r="26" spans="1:24" ht="13.5" customHeight="1" x14ac:dyDescent="0.15">
      <c r="A26" s="244"/>
      <c r="B26" s="99" t="s">
        <v>101</v>
      </c>
      <c r="C26" s="100"/>
      <c r="D26" s="101"/>
      <c r="E26" s="102"/>
      <c r="F26" s="103"/>
      <c r="G26" s="104"/>
      <c r="H26" s="105"/>
      <c r="I26" s="369" t="str">
        <f t="shared" si="1"/>
        <v/>
      </c>
      <c r="J26" s="421"/>
      <c r="K26" s="105"/>
      <c r="L26" s="369" t="str">
        <f t="shared" si="2"/>
        <v/>
      </c>
      <c r="M26" s="421"/>
      <c r="N26" s="105"/>
      <c r="O26" s="369" t="str">
        <f t="shared" si="0"/>
        <v/>
      </c>
      <c r="P26" s="421"/>
      <c r="Q26" s="106"/>
      <c r="R26" s="107"/>
      <c r="S26" s="469"/>
      <c r="T26" s="447"/>
      <c r="U26" s="447"/>
      <c r="V26" s="447"/>
      <c r="W26" s="447"/>
      <c r="X26" s="448"/>
    </row>
    <row r="27" spans="1:24" ht="13.5" customHeight="1" x14ac:dyDescent="0.15">
      <c r="A27" s="244"/>
      <c r="B27" s="99" t="s">
        <v>102</v>
      </c>
      <c r="C27" s="100"/>
      <c r="D27" s="101"/>
      <c r="E27" s="102"/>
      <c r="F27" s="103"/>
      <c r="G27" s="104"/>
      <c r="H27" s="105"/>
      <c r="I27" s="369" t="str">
        <f t="shared" si="1"/>
        <v/>
      </c>
      <c r="J27" s="421"/>
      <c r="K27" s="105"/>
      <c r="L27" s="369" t="str">
        <f t="shared" si="2"/>
        <v/>
      </c>
      <c r="M27" s="421"/>
      <c r="N27" s="105"/>
      <c r="O27" s="369" t="str">
        <f t="shared" si="0"/>
        <v/>
      </c>
      <c r="P27" s="421"/>
      <c r="Q27" s="106"/>
      <c r="R27" s="107"/>
      <c r="S27" s="469"/>
      <c r="T27" s="447"/>
      <c r="U27" s="447"/>
      <c r="V27" s="447"/>
      <c r="W27" s="447"/>
      <c r="X27" s="448"/>
    </row>
    <row r="28" spans="1:24" ht="13.5" customHeight="1" x14ac:dyDescent="0.15">
      <c r="A28" s="244"/>
      <c r="B28" s="99" t="s">
        <v>103</v>
      </c>
      <c r="C28" s="100"/>
      <c r="D28" s="101"/>
      <c r="E28" s="102"/>
      <c r="F28" s="103"/>
      <c r="G28" s="104"/>
      <c r="H28" s="105"/>
      <c r="I28" s="369" t="str">
        <f t="shared" si="1"/>
        <v/>
      </c>
      <c r="J28" s="421"/>
      <c r="K28" s="105"/>
      <c r="L28" s="369" t="str">
        <f t="shared" si="2"/>
        <v/>
      </c>
      <c r="M28" s="421"/>
      <c r="N28" s="105"/>
      <c r="O28" s="369" t="str">
        <f t="shared" si="0"/>
        <v/>
      </c>
      <c r="P28" s="421"/>
      <c r="Q28" s="106"/>
      <c r="R28" s="107"/>
      <c r="S28" s="469"/>
      <c r="T28" s="447"/>
      <c r="U28" s="447"/>
      <c r="V28" s="447"/>
      <c r="W28" s="447"/>
      <c r="X28" s="448"/>
    </row>
    <row r="29" spans="1:24" ht="13.5" customHeight="1" x14ac:dyDescent="0.15">
      <c r="A29" s="244"/>
      <c r="B29" s="99" t="s">
        <v>104</v>
      </c>
      <c r="C29" s="100"/>
      <c r="D29" s="101"/>
      <c r="E29" s="102"/>
      <c r="F29" s="103"/>
      <c r="G29" s="104"/>
      <c r="H29" s="105"/>
      <c r="I29" s="369" t="str">
        <f t="shared" si="1"/>
        <v/>
      </c>
      <c r="J29" s="421"/>
      <c r="K29" s="105"/>
      <c r="L29" s="369" t="str">
        <f t="shared" si="2"/>
        <v/>
      </c>
      <c r="M29" s="421"/>
      <c r="N29" s="105"/>
      <c r="O29" s="369" t="str">
        <f t="shared" si="0"/>
        <v/>
      </c>
      <c r="P29" s="421"/>
      <c r="Q29" s="106"/>
      <c r="R29" s="107"/>
      <c r="S29" s="469"/>
      <c r="T29" s="447"/>
      <c r="U29" s="447"/>
      <c r="V29" s="447"/>
      <c r="W29" s="447"/>
      <c r="X29" s="448"/>
    </row>
    <row r="30" spans="1:24" ht="13.5" customHeight="1" x14ac:dyDescent="0.15">
      <c r="A30" s="244"/>
      <c r="B30" s="99" t="s">
        <v>105</v>
      </c>
      <c r="C30" s="100"/>
      <c r="D30" s="101"/>
      <c r="E30" s="102"/>
      <c r="F30" s="103"/>
      <c r="G30" s="104"/>
      <c r="H30" s="105"/>
      <c r="I30" s="369" t="str">
        <f t="shared" si="1"/>
        <v/>
      </c>
      <c r="J30" s="421"/>
      <c r="K30" s="105"/>
      <c r="L30" s="369" t="str">
        <f t="shared" si="2"/>
        <v/>
      </c>
      <c r="M30" s="421"/>
      <c r="N30" s="105"/>
      <c r="O30" s="369" t="str">
        <f t="shared" si="0"/>
        <v/>
      </c>
      <c r="P30" s="421"/>
      <c r="Q30" s="106"/>
      <c r="R30" s="107"/>
      <c r="S30" s="469"/>
      <c r="T30" s="447"/>
      <c r="U30" s="447"/>
      <c r="V30" s="447"/>
      <c r="W30" s="447"/>
      <c r="X30" s="448"/>
    </row>
    <row r="31" spans="1:24" ht="13.5" customHeight="1" x14ac:dyDescent="0.15">
      <c r="A31" s="244"/>
      <c r="B31" s="99" t="s">
        <v>106</v>
      </c>
      <c r="C31" s="100"/>
      <c r="D31" s="101"/>
      <c r="E31" s="102"/>
      <c r="F31" s="103"/>
      <c r="G31" s="104"/>
      <c r="H31" s="105"/>
      <c r="I31" s="369" t="str">
        <f t="shared" si="1"/>
        <v/>
      </c>
      <c r="J31" s="421"/>
      <c r="K31" s="105"/>
      <c r="L31" s="369" t="str">
        <f t="shared" si="2"/>
        <v/>
      </c>
      <c r="M31" s="421"/>
      <c r="N31" s="105"/>
      <c r="O31" s="369" t="str">
        <f t="shared" si="0"/>
        <v/>
      </c>
      <c r="P31" s="421"/>
      <c r="Q31" s="106"/>
      <c r="R31" s="107"/>
      <c r="S31" s="469"/>
      <c r="T31" s="447"/>
      <c r="U31" s="447"/>
      <c r="V31" s="447"/>
      <c r="W31" s="447"/>
      <c r="X31" s="448"/>
    </row>
    <row r="32" spans="1:24" ht="13.5" customHeight="1" x14ac:dyDescent="0.15">
      <c r="A32" s="244"/>
      <c r="B32" s="99" t="s">
        <v>107</v>
      </c>
      <c r="C32" s="100"/>
      <c r="D32" s="101"/>
      <c r="E32" s="102"/>
      <c r="F32" s="103"/>
      <c r="G32" s="104"/>
      <c r="H32" s="105"/>
      <c r="I32" s="369" t="str">
        <f t="shared" si="1"/>
        <v/>
      </c>
      <c r="J32" s="421"/>
      <c r="K32" s="105"/>
      <c r="L32" s="369" t="str">
        <f t="shared" si="2"/>
        <v/>
      </c>
      <c r="M32" s="421"/>
      <c r="N32" s="105"/>
      <c r="O32" s="369" t="str">
        <f t="shared" si="0"/>
        <v/>
      </c>
      <c r="P32" s="421"/>
      <c r="Q32" s="106"/>
      <c r="R32" s="107"/>
      <c r="S32" s="469"/>
      <c r="T32" s="447"/>
      <c r="U32" s="447"/>
      <c r="V32" s="447"/>
      <c r="W32" s="447"/>
      <c r="X32" s="448"/>
    </row>
    <row r="33" spans="1:24" ht="13.5" customHeight="1" x14ac:dyDescent="0.15">
      <c r="A33" s="244"/>
      <c r="B33" s="99" t="s">
        <v>108</v>
      </c>
      <c r="C33" s="100"/>
      <c r="D33" s="101"/>
      <c r="E33" s="102"/>
      <c r="F33" s="103"/>
      <c r="G33" s="104"/>
      <c r="H33" s="105"/>
      <c r="I33" s="369" t="str">
        <f t="shared" si="1"/>
        <v/>
      </c>
      <c r="J33" s="421"/>
      <c r="K33" s="105"/>
      <c r="L33" s="369" t="str">
        <f t="shared" si="2"/>
        <v/>
      </c>
      <c r="M33" s="421"/>
      <c r="N33" s="105"/>
      <c r="O33" s="369" t="str">
        <f t="shared" si="0"/>
        <v/>
      </c>
      <c r="P33" s="421"/>
      <c r="Q33" s="106"/>
      <c r="R33" s="107"/>
      <c r="S33" s="469"/>
      <c r="T33" s="447"/>
      <c r="U33" s="447"/>
      <c r="V33" s="447"/>
      <c r="W33" s="447"/>
      <c r="X33" s="448"/>
    </row>
    <row r="34" spans="1:24" ht="13.5" customHeight="1" x14ac:dyDescent="0.15">
      <c r="A34" s="244"/>
      <c r="B34" s="99" t="s">
        <v>109</v>
      </c>
      <c r="C34" s="100"/>
      <c r="D34" s="101"/>
      <c r="E34" s="102"/>
      <c r="F34" s="103"/>
      <c r="G34" s="104"/>
      <c r="H34" s="105"/>
      <c r="I34" s="369" t="str">
        <f t="shared" si="1"/>
        <v/>
      </c>
      <c r="J34" s="421"/>
      <c r="K34" s="105"/>
      <c r="L34" s="369" t="str">
        <f t="shared" si="2"/>
        <v/>
      </c>
      <c r="M34" s="421"/>
      <c r="N34" s="105"/>
      <c r="O34" s="369" t="str">
        <f t="shared" si="0"/>
        <v/>
      </c>
      <c r="P34" s="421"/>
      <c r="Q34" s="106"/>
      <c r="R34" s="107"/>
      <c r="S34" s="469"/>
      <c r="T34" s="447"/>
      <c r="U34" s="447"/>
      <c r="V34" s="447"/>
      <c r="W34" s="447"/>
      <c r="X34" s="448"/>
    </row>
    <row r="35" spans="1:24" ht="13.5" customHeight="1" x14ac:dyDescent="0.15">
      <c r="A35" s="244"/>
      <c r="B35" s="99" t="s">
        <v>110</v>
      </c>
      <c r="C35" s="100"/>
      <c r="D35" s="101"/>
      <c r="E35" s="102"/>
      <c r="F35" s="103"/>
      <c r="G35" s="104"/>
      <c r="H35" s="105"/>
      <c r="I35" s="369" t="str">
        <f t="shared" si="1"/>
        <v/>
      </c>
      <c r="J35" s="421"/>
      <c r="K35" s="105"/>
      <c r="L35" s="369" t="str">
        <f t="shared" si="2"/>
        <v/>
      </c>
      <c r="M35" s="421"/>
      <c r="N35" s="105"/>
      <c r="O35" s="369" t="str">
        <f t="shared" si="0"/>
        <v/>
      </c>
      <c r="P35" s="421"/>
      <c r="Q35" s="106"/>
      <c r="R35" s="107"/>
      <c r="S35" s="469"/>
      <c r="T35" s="447"/>
      <c r="U35" s="447"/>
      <c r="V35" s="447"/>
      <c r="W35" s="447"/>
      <c r="X35" s="448"/>
    </row>
    <row r="36" spans="1:24" ht="13.5" customHeight="1" x14ac:dyDescent="0.15">
      <c r="A36" s="244"/>
      <c r="B36" s="99" t="s">
        <v>111</v>
      </c>
      <c r="C36" s="100"/>
      <c r="D36" s="101"/>
      <c r="E36" s="102"/>
      <c r="F36" s="103"/>
      <c r="G36" s="104"/>
      <c r="H36" s="105"/>
      <c r="I36" s="369" t="str">
        <f t="shared" si="1"/>
        <v/>
      </c>
      <c r="J36" s="421"/>
      <c r="K36" s="105"/>
      <c r="L36" s="369" t="str">
        <f t="shared" si="2"/>
        <v/>
      </c>
      <c r="M36" s="421"/>
      <c r="N36" s="105"/>
      <c r="O36" s="369" t="str">
        <f t="shared" si="0"/>
        <v/>
      </c>
      <c r="P36" s="421"/>
      <c r="Q36" s="106"/>
      <c r="R36" s="107"/>
      <c r="S36" s="469"/>
      <c r="T36" s="447"/>
      <c r="U36" s="447"/>
      <c r="V36" s="447"/>
      <c r="W36" s="447"/>
      <c r="X36" s="448"/>
    </row>
    <row r="37" spans="1:24" ht="13.5" customHeight="1" x14ac:dyDescent="0.15">
      <c r="A37" s="244"/>
      <c r="B37" s="99" t="s">
        <v>112</v>
      </c>
      <c r="C37" s="100"/>
      <c r="D37" s="101"/>
      <c r="E37" s="102"/>
      <c r="F37" s="103"/>
      <c r="G37" s="104"/>
      <c r="H37" s="105"/>
      <c r="I37" s="369" t="str">
        <f t="shared" si="1"/>
        <v/>
      </c>
      <c r="J37" s="421"/>
      <c r="K37" s="105"/>
      <c r="L37" s="369" t="str">
        <f t="shared" si="2"/>
        <v/>
      </c>
      <c r="M37" s="421"/>
      <c r="N37" s="105"/>
      <c r="O37" s="369" t="str">
        <f t="shared" si="0"/>
        <v/>
      </c>
      <c r="P37" s="421"/>
      <c r="Q37" s="106"/>
      <c r="R37" s="107"/>
      <c r="S37" s="469"/>
      <c r="T37" s="447"/>
      <c r="U37" s="447"/>
      <c r="V37" s="447"/>
      <c r="W37" s="447"/>
      <c r="X37" s="448"/>
    </row>
    <row r="38" spans="1:24" ht="13.5" customHeight="1" x14ac:dyDescent="0.15">
      <c r="A38" s="244"/>
      <c r="B38" s="99" t="s">
        <v>113</v>
      </c>
      <c r="C38" s="100"/>
      <c r="D38" s="101"/>
      <c r="E38" s="102"/>
      <c r="F38" s="103"/>
      <c r="G38" s="104"/>
      <c r="H38" s="105"/>
      <c r="I38" s="369" t="str">
        <f t="shared" si="1"/>
        <v/>
      </c>
      <c r="J38" s="421"/>
      <c r="K38" s="105"/>
      <c r="L38" s="369" t="str">
        <f t="shared" si="2"/>
        <v/>
      </c>
      <c r="M38" s="421"/>
      <c r="N38" s="105"/>
      <c r="O38" s="369" t="str">
        <f t="shared" si="0"/>
        <v/>
      </c>
      <c r="P38" s="421"/>
      <c r="Q38" s="106"/>
      <c r="R38" s="107"/>
      <c r="S38" s="469"/>
      <c r="T38" s="447"/>
      <c r="U38" s="447"/>
      <c r="V38" s="447"/>
      <c r="W38" s="447"/>
      <c r="X38" s="448"/>
    </row>
    <row r="39" spans="1:24" ht="13.5" customHeight="1" x14ac:dyDescent="0.15">
      <c r="A39" s="244"/>
      <c r="B39" s="99" t="s">
        <v>114</v>
      </c>
      <c r="C39" s="100"/>
      <c r="D39" s="101"/>
      <c r="E39" s="102"/>
      <c r="F39" s="103"/>
      <c r="G39" s="104"/>
      <c r="H39" s="105"/>
      <c r="I39" s="369" t="str">
        <f t="shared" si="1"/>
        <v/>
      </c>
      <c r="J39" s="421"/>
      <c r="K39" s="105"/>
      <c r="L39" s="369" t="str">
        <f t="shared" si="2"/>
        <v/>
      </c>
      <c r="M39" s="421"/>
      <c r="N39" s="105"/>
      <c r="O39" s="369" t="str">
        <f t="shared" si="0"/>
        <v/>
      </c>
      <c r="P39" s="421"/>
      <c r="Q39" s="106"/>
      <c r="R39" s="107"/>
      <c r="S39" s="469"/>
      <c r="T39" s="447"/>
      <c r="U39" s="447"/>
      <c r="V39" s="447"/>
      <c r="W39" s="447"/>
      <c r="X39" s="448"/>
    </row>
    <row r="40" spans="1:24" ht="13.5" customHeight="1" x14ac:dyDescent="0.15">
      <c r="A40" s="244"/>
      <c r="B40" s="99" t="s">
        <v>115</v>
      </c>
      <c r="C40" s="100"/>
      <c r="D40" s="101"/>
      <c r="E40" s="102"/>
      <c r="F40" s="103"/>
      <c r="G40" s="104"/>
      <c r="H40" s="105"/>
      <c r="I40" s="369" t="str">
        <f t="shared" si="1"/>
        <v/>
      </c>
      <c r="J40" s="421"/>
      <c r="K40" s="105"/>
      <c r="L40" s="369" t="str">
        <f t="shared" si="2"/>
        <v/>
      </c>
      <c r="M40" s="421"/>
      <c r="N40" s="105"/>
      <c r="O40" s="369" t="str">
        <f t="shared" si="0"/>
        <v/>
      </c>
      <c r="P40" s="421"/>
      <c r="Q40" s="106"/>
      <c r="R40" s="107"/>
      <c r="S40" s="469"/>
      <c r="T40" s="447"/>
      <c r="U40" s="447"/>
      <c r="V40" s="447"/>
      <c r="W40" s="447"/>
      <c r="X40" s="448"/>
    </row>
    <row r="41" spans="1:24" ht="13.5" customHeight="1" x14ac:dyDescent="0.15">
      <c r="A41" s="244"/>
      <c r="B41" s="99" t="s">
        <v>116</v>
      </c>
      <c r="C41" s="100"/>
      <c r="D41" s="101"/>
      <c r="E41" s="102"/>
      <c r="F41" s="103"/>
      <c r="G41" s="104"/>
      <c r="H41" s="105"/>
      <c r="I41" s="369" t="str">
        <f t="shared" si="1"/>
        <v/>
      </c>
      <c r="J41" s="421"/>
      <c r="K41" s="105"/>
      <c r="L41" s="369" t="str">
        <f t="shared" si="2"/>
        <v/>
      </c>
      <c r="M41" s="421"/>
      <c r="N41" s="105"/>
      <c r="O41" s="369" t="str">
        <f t="shared" si="0"/>
        <v/>
      </c>
      <c r="P41" s="421"/>
      <c r="Q41" s="106"/>
      <c r="R41" s="107"/>
      <c r="S41" s="469"/>
      <c r="T41" s="447"/>
      <c r="U41" s="447"/>
      <c r="V41" s="447"/>
      <c r="W41" s="447"/>
      <c r="X41" s="448"/>
    </row>
    <row r="42" spans="1:24" ht="13.5" customHeight="1" x14ac:dyDescent="0.15">
      <c r="A42" s="244"/>
      <c r="B42" s="99" t="s">
        <v>117</v>
      </c>
      <c r="C42" s="100"/>
      <c r="D42" s="108"/>
      <c r="E42" s="102"/>
      <c r="F42" s="103"/>
      <c r="G42" s="104"/>
      <c r="H42" s="105"/>
      <c r="I42" s="369" t="str">
        <f t="shared" si="1"/>
        <v/>
      </c>
      <c r="J42" s="421"/>
      <c r="K42" s="105"/>
      <c r="L42" s="369" t="str">
        <f t="shared" si="2"/>
        <v/>
      </c>
      <c r="M42" s="421"/>
      <c r="N42" s="105"/>
      <c r="O42" s="369" t="str">
        <f t="shared" si="0"/>
        <v/>
      </c>
      <c r="P42" s="421"/>
      <c r="Q42" s="106"/>
      <c r="R42" s="107"/>
      <c r="S42" s="469"/>
      <c r="T42" s="447"/>
      <c r="U42" s="447"/>
      <c r="V42" s="447"/>
      <c r="W42" s="447"/>
      <c r="X42" s="448"/>
    </row>
    <row r="43" spans="1:24" ht="13.5" customHeight="1" x14ac:dyDescent="0.15">
      <c r="A43" s="244"/>
      <c r="B43" s="99" t="s">
        <v>118</v>
      </c>
      <c r="C43" s="100"/>
      <c r="D43" s="108"/>
      <c r="E43" s="102"/>
      <c r="F43" s="103"/>
      <c r="G43" s="104"/>
      <c r="H43" s="105"/>
      <c r="I43" s="369" t="str">
        <f t="shared" si="1"/>
        <v/>
      </c>
      <c r="J43" s="421"/>
      <c r="K43" s="105"/>
      <c r="L43" s="369" t="str">
        <f t="shared" si="2"/>
        <v/>
      </c>
      <c r="M43" s="421"/>
      <c r="N43" s="105"/>
      <c r="O43" s="369" t="str">
        <f t="shared" si="0"/>
        <v/>
      </c>
      <c r="P43" s="421"/>
      <c r="Q43" s="106"/>
      <c r="R43" s="107"/>
      <c r="S43" s="469"/>
      <c r="T43" s="447"/>
      <c r="U43" s="447"/>
      <c r="V43" s="447"/>
      <c r="W43" s="447"/>
      <c r="X43" s="448"/>
    </row>
    <row r="44" spans="1:24" ht="13.5" customHeight="1" x14ac:dyDescent="0.15">
      <c r="A44" s="244"/>
      <c r="B44" s="99" t="s">
        <v>119</v>
      </c>
      <c r="C44" s="100"/>
      <c r="D44" s="108"/>
      <c r="E44" s="102"/>
      <c r="F44" s="103"/>
      <c r="G44" s="104"/>
      <c r="H44" s="105"/>
      <c r="I44" s="369" t="str">
        <f t="shared" si="1"/>
        <v/>
      </c>
      <c r="J44" s="421"/>
      <c r="K44" s="105"/>
      <c r="L44" s="369" t="str">
        <f t="shared" si="2"/>
        <v/>
      </c>
      <c r="M44" s="421"/>
      <c r="N44" s="105"/>
      <c r="O44" s="369" t="str">
        <f t="shared" si="0"/>
        <v/>
      </c>
      <c r="P44" s="421"/>
      <c r="Q44" s="106"/>
      <c r="R44" s="107"/>
      <c r="S44" s="469"/>
      <c r="T44" s="447"/>
      <c r="U44" s="447"/>
      <c r="V44" s="447"/>
      <c r="W44" s="447"/>
      <c r="X44" s="448"/>
    </row>
    <row r="45" spans="1:24" ht="13.5" customHeight="1" x14ac:dyDescent="0.15">
      <c r="A45" s="244"/>
      <c r="B45" s="99" t="s">
        <v>120</v>
      </c>
      <c r="C45" s="100"/>
      <c r="D45" s="108"/>
      <c r="E45" s="102"/>
      <c r="F45" s="103"/>
      <c r="G45" s="104"/>
      <c r="H45" s="105"/>
      <c r="I45" s="369" t="str">
        <f t="shared" si="1"/>
        <v/>
      </c>
      <c r="J45" s="421"/>
      <c r="K45" s="105"/>
      <c r="L45" s="369" t="str">
        <f t="shared" si="2"/>
        <v/>
      </c>
      <c r="M45" s="421"/>
      <c r="N45" s="105"/>
      <c r="O45" s="369" t="str">
        <f t="shared" si="0"/>
        <v/>
      </c>
      <c r="P45" s="421"/>
      <c r="Q45" s="106"/>
      <c r="R45" s="107"/>
      <c r="S45" s="469"/>
      <c r="T45" s="447"/>
      <c r="U45" s="447"/>
      <c r="V45" s="447"/>
      <c r="W45" s="447"/>
      <c r="X45" s="448"/>
    </row>
    <row r="46" spans="1:24" ht="13.5" customHeight="1" x14ac:dyDescent="0.15">
      <c r="A46" s="244"/>
      <c r="B46" s="99" t="s">
        <v>121</v>
      </c>
      <c r="C46" s="100"/>
      <c r="D46" s="108"/>
      <c r="E46" s="102"/>
      <c r="F46" s="103"/>
      <c r="G46" s="104"/>
      <c r="H46" s="105"/>
      <c r="I46" s="369" t="str">
        <f t="shared" si="1"/>
        <v/>
      </c>
      <c r="J46" s="421"/>
      <c r="K46" s="105"/>
      <c r="L46" s="369" t="str">
        <f t="shared" si="2"/>
        <v/>
      </c>
      <c r="M46" s="421"/>
      <c r="N46" s="105"/>
      <c r="O46" s="369" t="str">
        <f t="shared" si="0"/>
        <v/>
      </c>
      <c r="P46" s="421"/>
      <c r="Q46" s="106"/>
      <c r="R46" s="107"/>
      <c r="S46" s="469"/>
      <c r="T46" s="447"/>
      <c r="U46" s="447"/>
      <c r="V46" s="447"/>
      <c r="W46" s="447"/>
      <c r="X46" s="448"/>
    </row>
    <row r="47" spans="1:24" ht="13.5" customHeight="1" x14ac:dyDescent="0.15">
      <c r="A47" s="244"/>
      <c r="B47" s="99" t="s">
        <v>122</v>
      </c>
      <c r="C47" s="100"/>
      <c r="D47" s="108"/>
      <c r="E47" s="102"/>
      <c r="F47" s="103"/>
      <c r="G47" s="104"/>
      <c r="H47" s="105"/>
      <c r="I47" s="369" t="str">
        <f t="shared" si="1"/>
        <v/>
      </c>
      <c r="J47" s="421"/>
      <c r="K47" s="105"/>
      <c r="L47" s="369" t="str">
        <f t="shared" si="2"/>
        <v/>
      </c>
      <c r="M47" s="421"/>
      <c r="N47" s="105"/>
      <c r="O47" s="369" t="str">
        <f t="shared" si="0"/>
        <v/>
      </c>
      <c r="P47" s="421"/>
      <c r="Q47" s="106"/>
      <c r="R47" s="107"/>
      <c r="S47" s="469"/>
      <c r="T47" s="447"/>
      <c r="U47" s="447"/>
      <c r="V47" s="447"/>
      <c r="W47" s="447"/>
      <c r="X47" s="448"/>
    </row>
    <row r="48" spans="1:24" ht="13.5" customHeight="1" x14ac:dyDescent="0.15">
      <c r="A48" s="244"/>
      <c r="B48" s="99" t="s">
        <v>123</v>
      </c>
      <c r="C48" s="100"/>
      <c r="D48" s="108"/>
      <c r="E48" s="102"/>
      <c r="F48" s="103"/>
      <c r="G48" s="104"/>
      <c r="H48" s="105"/>
      <c r="I48" s="369" t="str">
        <f t="shared" si="1"/>
        <v/>
      </c>
      <c r="J48" s="421"/>
      <c r="K48" s="105"/>
      <c r="L48" s="369" t="str">
        <f t="shared" si="2"/>
        <v/>
      </c>
      <c r="M48" s="421"/>
      <c r="N48" s="105"/>
      <c r="O48" s="369" t="str">
        <f t="shared" si="0"/>
        <v/>
      </c>
      <c r="P48" s="421"/>
      <c r="Q48" s="106"/>
      <c r="R48" s="107"/>
      <c r="S48" s="469"/>
      <c r="T48" s="447"/>
      <c r="U48" s="447"/>
      <c r="V48" s="447"/>
      <c r="W48" s="447"/>
      <c r="X48" s="448"/>
    </row>
    <row r="49" spans="1:24" ht="13.5" customHeight="1" x14ac:dyDescent="0.15">
      <c r="A49" s="244"/>
      <c r="B49" s="99" t="s">
        <v>124</v>
      </c>
      <c r="C49" s="100"/>
      <c r="D49" s="108"/>
      <c r="E49" s="102"/>
      <c r="F49" s="103"/>
      <c r="G49" s="104"/>
      <c r="H49" s="105"/>
      <c r="I49" s="369" t="str">
        <f t="shared" si="1"/>
        <v/>
      </c>
      <c r="J49" s="421"/>
      <c r="K49" s="105"/>
      <c r="L49" s="369" t="str">
        <f t="shared" si="2"/>
        <v/>
      </c>
      <c r="M49" s="421"/>
      <c r="N49" s="105"/>
      <c r="O49" s="369" t="str">
        <f t="shared" si="0"/>
        <v/>
      </c>
      <c r="P49" s="421"/>
      <c r="Q49" s="106"/>
      <c r="R49" s="107"/>
      <c r="S49" s="469"/>
      <c r="T49" s="447"/>
      <c r="U49" s="447"/>
      <c r="V49" s="447"/>
      <c r="W49" s="447"/>
      <c r="X49" s="448"/>
    </row>
    <row r="50" spans="1:24" ht="13.5" customHeight="1" x14ac:dyDescent="0.15">
      <c r="A50" s="244"/>
      <c r="B50" s="99" t="s">
        <v>125</v>
      </c>
      <c r="C50" s="100"/>
      <c r="D50" s="108"/>
      <c r="E50" s="102"/>
      <c r="F50" s="103"/>
      <c r="G50" s="104"/>
      <c r="H50" s="105"/>
      <c r="I50" s="369" t="str">
        <f t="shared" si="1"/>
        <v/>
      </c>
      <c r="J50" s="421"/>
      <c r="K50" s="105"/>
      <c r="L50" s="369" t="str">
        <f t="shared" si="2"/>
        <v/>
      </c>
      <c r="M50" s="421"/>
      <c r="N50" s="105"/>
      <c r="O50" s="369" t="str">
        <f t="shared" si="0"/>
        <v/>
      </c>
      <c r="P50" s="421"/>
      <c r="Q50" s="106"/>
      <c r="R50" s="107"/>
      <c r="S50" s="469"/>
      <c r="T50" s="447"/>
      <c r="U50" s="447"/>
      <c r="V50" s="447"/>
      <c r="W50" s="447"/>
      <c r="X50" s="448"/>
    </row>
    <row r="51" spans="1:24" ht="13.5" customHeight="1" x14ac:dyDescent="0.15">
      <c r="A51" s="244"/>
      <c r="B51" s="99" t="s">
        <v>126</v>
      </c>
      <c r="C51" s="100"/>
      <c r="D51" s="108"/>
      <c r="E51" s="102"/>
      <c r="F51" s="103"/>
      <c r="G51" s="104"/>
      <c r="H51" s="105"/>
      <c r="I51" s="369" t="str">
        <f t="shared" si="1"/>
        <v/>
      </c>
      <c r="J51" s="421"/>
      <c r="K51" s="105"/>
      <c r="L51" s="369" t="str">
        <f t="shared" si="2"/>
        <v/>
      </c>
      <c r="M51" s="421"/>
      <c r="N51" s="105"/>
      <c r="O51" s="369" t="str">
        <f t="shared" si="0"/>
        <v/>
      </c>
      <c r="P51" s="421"/>
      <c r="Q51" s="106"/>
      <c r="R51" s="107"/>
      <c r="S51" s="469"/>
      <c r="T51" s="447"/>
      <c r="U51" s="447"/>
      <c r="V51" s="447"/>
      <c r="W51" s="447"/>
      <c r="X51" s="448"/>
    </row>
    <row r="52" spans="1:24" ht="13.5" customHeight="1" x14ac:dyDescent="0.15">
      <c r="A52" s="244"/>
      <c r="B52" s="99" t="s">
        <v>127</v>
      </c>
      <c r="C52" s="100"/>
      <c r="D52" s="108"/>
      <c r="E52" s="102"/>
      <c r="F52" s="103"/>
      <c r="G52" s="104"/>
      <c r="H52" s="105"/>
      <c r="I52" s="369" t="str">
        <f t="shared" si="1"/>
        <v/>
      </c>
      <c r="J52" s="421"/>
      <c r="K52" s="105"/>
      <c r="L52" s="369" t="str">
        <f t="shared" si="2"/>
        <v/>
      </c>
      <c r="M52" s="421"/>
      <c r="N52" s="105"/>
      <c r="O52" s="369" t="str">
        <f t="shared" si="0"/>
        <v/>
      </c>
      <c r="P52" s="421"/>
      <c r="Q52" s="106"/>
      <c r="R52" s="107"/>
      <c r="S52" s="469"/>
      <c r="T52" s="447"/>
      <c r="U52" s="447"/>
      <c r="V52" s="447"/>
      <c r="W52" s="447"/>
      <c r="X52" s="448"/>
    </row>
    <row r="53" spans="1:24" ht="13.5" customHeight="1" x14ac:dyDescent="0.15">
      <c r="A53" s="244"/>
      <c r="B53" s="99" t="s">
        <v>128</v>
      </c>
      <c r="C53" s="100"/>
      <c r="D53" s="108"/>
      <c r="E53" s="102"/>
      <c r="F53" s="103"/>
      <c r="G53" s="104"/>
      <c r="H53" s="105"/>
      <c r="I53" s="369" t="str">
        <f t="shared" si="1"/>
        <v/>
      </c>
      <c r="J53" s="421"/>
      <c r="K53" s="105"/>
      <c r="L53" s="369" t="str">
        <f t="shared" si="2"/>
        <v/>
      </c>
      <c r="M53" s="421"/>
      <c r="N53" s="105"/>
      <c r="O53" s="369" t="str">
        <f t="shared" si="0"/>
        <v/>
      </c>
      <c r="P53" s="421"/>
      <c r="Q53" s="106"/>
      <c r="R53" s="107"/>
      <c r="S53" s="469"/>
      <c r="T53" s="447"/>
      <c r="U53" s="447"/>
      <c r="V53" s="447"/>
      <c r="W53" s="447"/>
      <c r="X53" s="448"/>
    </row>
    <row r="54" spans="1:24" ht="13.5" customHeight="1" x14ac:dyDescent="0.15">
      <c r="A54" s="244"/>
      <c r="B54" s="99" t="s">
        <v>129</v>
      </c>
      <c r="C54" s="100"/>
      <c r="D54" s="108"/>
      <c r="E54" s="102"/>
      <c r="F54" s="103"/>
      <c r="G54" s="104"/>
      <c r="H54" s="105"/>
      <c r="I54" s="369" t="str">
        <f t="shared" si="1"/>
        <v/>
      </c>
      <c r="J54" s="421"/>
      <c r="K54" s="105"/>
      <c r="L54" s="369" t="str">
        <f t="shared" si="2"/>
        <v/>
      </c>
      <c r="M54" s="421"/>
      <c r="N54" s="105"/>
      <c r="O54" s="369" t="str">
        <f t="shared" si="0"/>
        <v/>
      </c>
      <c r="P54" s="421"/>
      <c r="Q54" s="106"/>
      <c r="R54" s="107"/>
      <c r="S54" s="469"/>
      <c r="T54" s="447"/>
      <c r="U54" s="447"/>
      <c r="V54" s="447"/>
      <c r="W54" s="447"/>
      <c r="X54" s="448"/>
    </row>
    <row r="55" spans="1:24" ht="13.5" customHeight="1" thickBot="1" x14ac:dyDescent="0.2">
      <c r="A55" s="244"/>
      <c r="B55" s="109"/>
      <c r="C55" s="110"/>
      <c r="D55" s="111"/>
      <c r="E55" s="112" t="s">
        <v>263</v>
      </c>
      <c r="F55" s="113"/>
      <c r="G55" s="114"/>
      <c r="H55" s="115">
        <f>SUM(H16:H54)</f>
        <v>0</v>
      </c>
      <c r="I55" s="373">
        <f>SUM(I16:I54)</f>
        <v>0</v>
      </c>
      <c r="J55" s="422"/>
      <c r="K55" s="115">
        <f>SUM(K16:K54)</f>
        <v>0</v>
      </c>
      <c r="L55" s="373">
        <f>SUM(L16:L54)</f>
        <v>0</v>
      </c>
      <c r="M55" s="422"/>
      <c r="N55" s="115">
        <f>SUM(N16:N54)</f>
        <v>0</v>
      </c>
      <c r="O55" s="373">
        <f>SUM(O16:P54)</f>
        <v>0</v>
      </c>
      <c r="P55" s="422"/>
      <c r="Q55" s="116"/>
      <c r="R55" s="117"/>
      <c r="S55" s="469"/>
      <c r="T55" s="447"/>
      <c r="U55" s="447"/>
      <c r="V55" s="447"/>
      <c r="W55" s="447"/>
      <c r="X55" s="448"/>
    </row>
    <row r="56" spans="1:24" ht="13.5" customHeight="1" x14ac:dyDescent="0.15">
      <c r="A56" s="244"/>
      <c r="B56" s="118"/>
      <c r="C56" s="119"/>
      <c r="D56" s="120" t="s">
        <v>264</v>
      </c>
      <c r="E56" s="120" t="s">
        <v>265</v>
      </c>
      <c r="F56" s="121"/>
      <c r="G56" s="122"/>
      <c r="H56" s="123"/>
      <c r="I56" s="374"/>
      <c r="J56" s="423"/>
      <c r="K56" s="123"/>
      <c r="L56" s="374"/>
      <c r="M56" s="423"/>
      <c r="N56" s="123"/>
      <c r="O56" s="374"/>
      <c r="P56" s="423"/>
      <c r="Q56" s="124"/>
      <c r="R56" s="107"/>
      <c r="S56" s="469"/>
      <c r="T56" s="447"/>
      <c r="U56" s="447"/>
      <c r="V56" s="447"/>
      <c r="W56" s="447"/>
      <c r="X56" s="448"/>
    </row>
    <row r="57" spans="1:24" ht="13.5" customHeight="1" x14ac:dyDescent="0.15">
      <c r="A57" s="244"/>
      <c r="B57" s="125" t="s">
        <v>266</v>
      </c>
      <c r="C57" s="126"/>
      <c r="D57" s="127"/>
      <c r="E57" s="102"/>
      <c r="F57" s="128"/>
      <c r="G57" s="129"/>
      <c r="H57" s="130"/>
      <c r="I57" s="369" t="str">
        <f>IF($H57="","",F57*H57/G57)</f>
        <v/>
      </c>
      <c r="J57" s="421"/>
      <c r="K57" s="130"/>
      <c r="L57" s="369" t="str">
        <f>IF($K57="","",F57*K57/G57)</f>
        <v/>
      </c>
      <c r="M57" s="421"/>
      <c r="N57" s="130"/>
      <c r="O57" s="369" t="str">
        <f t="shared" ref="O57:O93" si="3">IF($N57="","",F57*N57/G57)</f>
        <v/>
      </c>
      <c r="P57" s="421"/>
      <c r="Q57" s="106"/>
      <c r="R57" s="107"/>
      <c r="S57" s="469"/>
      <c r="T57" s="447"/>
      <c r="U57" s="447"/>
      <c r="V57" s="447"/>
      <c r="W57" s="447"/>
      <c r="X57" s="448"/>
    </row>
    <row r="58" spans="1:24" ht="13.5" customHeight="1" x14ac:dyDescent="0.15">
      <c r="A58" s="244"/>
      <c r="B58" s="125" t="s">
        <v>130</v>
      </c>
      <c r="C58" s="126"/>
      <c r="D58" s="127"/>
      <c r="E58" s="102"/>
      <c r="F58" s="128"/>
      <c r="G58" s="129"/>
      <c r="H58" s="130"/>
      <c r="I58" s="369" t="str">
        <f t="shared" ref="I58:I93" si="4">IF($H58="","",F58*H58/G58)</f>
        <v/>
      </c>
      <c r="J58" s="421"/>
      <c r="K58" s="130"/>
      <c r="L58" s="369" t="str">
        <f t="shared" ref="L58:L93" si="5">IF($K58="","",F58*K58/G58)</f>
        <v/>
      </c>
      <c r="M58" s="421"/>
      <c r="N58" s="130"/>
      <c r="O58" s="369" t="str">
        <f t="shared" si="3"/>
        <v/>
      </c>
      <c r="P58" s="421"/>
      <c r="Q58" s="106"/>
      <c r="R58" s="107"/>
      <c r="S58" s="469"/>
      <c r="T58" s="447"/>
      <c r="U58" s="447"/>
      <c r="V58" s="447"/>
      <c r="W58" s="447"/>
      <c r="X58" s="448"/>
    </row>
    <row r="59" spans="1:24" ht="13.5" customHeight="1" x14ac:dyDescent="0.15">
      <c r="A59" s="244"/>
      <c r="B59" s="125" t="s">
        <v>131</v>
      </c>
      <c r="C59" s="126"/>
      <c r="D59" s="127"/>
      <c r="E59" s="102"/>
      <c r="F59" s="128"/>
      <c r="G59" s="129"/>
      <c r="H59" s="130"/>
      <c r="I59" s="369" t="str">
        <f t="shared" si="4"/>
        <v/>
      </c>
      <c r="J59" s="421"/>
      <c r="K59" s="130"/>
      <c r="L59" s="369" t="str">
        <f t="shared" si="5"/>
        <v/>
      </c>
      <c r="M59" s="421"/>
      <c r="N59" s="130"/>
      <c r="O59" s="369" t="str">
        <f t="shared" si="3"/>
        <v/>
      </c>
      <c r="P59" s="421"/>
      <c r="Q59" s="106"/>
      <c r="R59" s="107"/>
      <c r="S59" s="469"/>
      <c r="T59" s="447"/>
      <c r="U59" s="447"/>
      <c r="V59" s="447"/>
      <c r="W59" s="447"/>
      <c r="X59" s="448"/>
    </row>
    <row r="60" spans="1:24" ht="13.5" customHeight="1" x14ac:dyDescent="0.15">
      <c r="A60" s="244"/>
      <c r="B60" s="125" t="s">
        <v>132</v>
      </c>
      <c r="C60" s="126"/>
      <c r="D60" s="127"/>
      <c r="E60" s="102"/>
      <c r="F60" s="128"/>
      <c r="G60" s="129"/>
      <c r="H60" s="130"/>
      <c r="I60" s="369" t="str">
        <f t="shared" si="4"/>
        <v/>
      </c>
      <c r="J60" s="421"/>
      <c r="K60" s="130"/>
      <c r="L60" s="369" t="str">
        <f t="shared" si="5"/>
        <v/>
      </c>
      <c r="M60" s="421"/>
      <c r="N60" s="130"/>
      <c r="O60" s="369" t="str">
        <f t="shared" si="3"/>
        <v/>
      </c>
      <c r="P60" s="421"/>
      <c r="Q60" s="106"/>
      <c r="R60" s="107"/>
      <c r="S60" s="469"/>
      <c r="T60" s="447"/>
      <c r="U60" s="447"/>
      <c r="V60" s="447"/>
      <c r="W60" s="447"/>
      <c r="X60" s="448"/>
    </row>
    <row r="61" spans="1:24" ht="13.5" customHeight="1" x14ac:dyDescent="0.15">
      <c r="A61" s="244"/>
      <c r="B61" s="125" t="s">
        <v>133</v>
      </c>
      <c r="C61" s="126"/>
      <c r="D61" s="127"/>
      <c r="E61" s="102"/>
      <c r="F61" s="128"/>
      <c r="G61" s="129"/>
      <c r="H61" s="130"/>
      <c r="I61" s="369" t="str">
        <f t="shared" si="4"/>
        <v/>
      </c>
      <c r="J61" s="421"/>
      <c r="K61" s="130"/>
      <c r="L61" s="369" t="str">
        <f t="shared" si="5"/>
        <v/>
      </c>
      <c r="M61" s="421"/>
      <c r="N61" s="130"/>
      <c r="O61" s="369" t="str">
        <f t="shared" si="3"/>
        <v/>
      </c>
      <c r="P61" s="421"/>
      <c r="Q61" s="106"/>
      <c r="R61" s="107"/>
      <c r="S61" s="469"/>
      <c r="T61" s="447"/>
      <c r="U61" s="447"/>
      <c r="V61" s="447"/>
      <c r="W61" s="447"/>
      <c r="X61" s="448"/>
    </row>
    <row r="62" spans="1:24" ht="13.5" customHeight="1" x14ac:dyDescent="0.15">
      <c r="A62" s="244"/>
      <c r="B62" s="125" t="s">
        <v>134</v>
      </c>
      <c r="C62" s="126"/>
      <c r="D62" s="127"/>
      <c r="E62" s="102"/>
      <c r="F62" s="128"/>
      <c r="G62" s="129"/>
      <c r="H62" s="130"/>
      <c r="I62" s="369" t="str">
        <f t="shared" si="4"/>
        <v/>
      </c>
      <c r="J62" s="421"/>
      <c r="K62" s="130"/>
      <c r="L62" s="369" t="str">
        <f t="shared" si="5"/>
        <v/>
      </c>
      <c r="M62" s="421"/>
      <c r="N62" s="130"/>
      <c r="O62" s="369" t="str">
        <f t="shared" si="3"/>
        <v/>
      </c>
      <c r="P62" s="421"/>
      <c r="Q62" s="106"/>
      <c r="R62" s="107"/>
      <c r="S62" s="469"/>
      <c r="T62" s="447"/>
      <c r="U62" s="447"/>
      <c r="V62" s="447"/>
      <c r="W62" s="447"/>
      <c r="X62" s="448"/>
    </row>
    <row r="63" spans="1:24" ht="13.5" customHeight="1" x14ac:dyDescent="0.15">
      <c r="A63" s="244"/>
      <c r="B63" s="125" t="s">
        <v>135</v>
      </c>
      <c r="C63" s="126"/>
      <c r="D63" s="127"/>
      <c r="E63" s="102"/>
      <c r="F63" s="128"/>
      <c r="G63" s="129"/>
      <c r="H63" s="130"/>
      <c r="I63" s="369" t="str">
        <f t="shared" si="4"/>
        <v/>
      </c>
      <c r="J63" s="421"/>
      <c r="K63" s="130"/>
      <c r="L63" s="369" t="str">
        <f t="shared" si="5"/>
        <v/>
      </c>
      <c r="M63" s="421"/>
      <c r="N63" s="130"/>
      <c r="O63" s="369" t="str">
        <f t="shared" si="3"/>
        <v/>
      </c>
      <c r="P63" s="421"/>
      <c r="Q63" s="106"/>
      <c r="R63" s="107"/>
      <c r="S63" s="469"/>
      <c r="T63" s="447"/>
      <c r="U63" s="447"/>
      <c r="V63" s="447"/>
      <c r="W63" s="447"/>
      <c r="X63" s="448"/>
    </row>
    <row r="64" spans="1:24" ht="13.5" customHeight="1" x14ac:dyDescent="0.15">
      <c r="A64" s="244"/>
      <c r="B64" s="125" t="s">
        <v>136</v>
      </c>
      <c r="C64" s="126"/>
      <c r="D64" s="127"/>
      <c r="E64" s="102"/>
      <c r="F64" s="128"/>
      <c r="G64" s="129"/>
      <c r="H64" s="130"/>
      <c r="I64" s="369" t="str">
        <f t="shared" si="4"/>
        <v/>
      </c>
      <c r="J64" s="421"/>
      <c r="K64" s="130"/>
      <c r="L64" s="369" t="str">
        <f t="shared" si="5"/>
        <v/>
      </c>
      <c r="M64" s="421"/>
      <c r="N64" s="130"/>
      <c r="O64" s="369" t="str">
        <f t="shared" si="3"/>
        <v/>
      </c>
      <c r="P64" s="421"/>
      <c r="Q64" s="106"/>
      <c r="R64" s="107"/>
      <c r="S64" s="469"/>
      <c r="T64" s="447"/>
      <c r="U64" s="447"/>
      <c r="V64" s="447"/>
      <c r="W64" s="447"/>
      <c r="X64" s="448"/>
    </row>
    <row r="65" spans="1:24" ht="13.5" customHeight="1" x14ac:dyDescent="0.15">
      <c r="A65" s="244"/>
      <c r="B65" s="125" t="s">
        <v>137</v>
      </c>
      <c r="C65" s="126"/>
      <c r="D65" s="127"/>
      <c r="E65" s="102"/>
      <c r="F65" s="128"/>
      <c r="G65" s="129"/>
      <c r="H65" s="130"/>
      <c r="I65" s="369" t="str">
        <f t="shared" si="4"/>
        <v/>
      </c>
      <c r="J65" s="421"/>
      <c r="K65" s="130"/>
      <c r="L65" s="369" t="str">
        <f t="shared" si="5"/>
        <v/>
      </c>
      <c r="M65" s="421"/>
      <c r="N65" s="130"/>
      <c r="O65" s="369" t="str">
        <f t="shared" si="3"/>
        <v/>
      </c>
      <c r="P65" s="421"/>
      <c r="Q65" s="106"/>
      <c r="R65" s="107"/>
      <c r="S65" s="469"/>
      <c r="T65" s="447"/>
      <c r="U65" s="447"/>
      <c r="V65" s="447"/>
      <c r="W65" s="447"/>
      <c r="X65" s="448"/>
    </row>
    <row r="66" spans="1:24" ht="13.5" customHeight="1" x14ac:dyDescent="0.15">
      <c r="A66" s="244"/>
      <c r="B66" s="125" t="s">
        <v>138</v>
      </c>
      <c r="C66" s="126"/>
      <c r="D66" s="127"/>
      <c r="E66" s="102"/>
      <c r="F66" s="128"/>
      <c r="G66" s="129"/>
      <c r="H66" s="130"/>
      <c r="I66" s="369" t="str">
        <f t="shared" si="4"/>
        <v/>
      </c>
      <c r="J66" s="421"/>
      <c r="K66" s="130"/>
      <c r="L66" s="369" t="str">
        <f t="shared" si="5"/>
        <v/>
      </c>
      <c r="M66" s="421"/>
      <c r="N66" s="130"/>
      <c r="O66" s="369" t="str">
        <f t="shared" si="3"/>
        <v/>
      </c>
      <c r="P66" s="421"/>
      <c r="Q66" s="106"/>
      <c r="R66" s="107"/>
      <c r="S66" s="469"/>
      <c r="T66" s="447"/>
      <c r="U66" s="447"/>
      <c r="V66" s="447"/>
      <c r="W66" s="447"/>
      <c r="X66" s="448"/>
    </row>
    <row r="67" spans="1:24" ht="13.5" customHeight="1" x14ac:dyDescent="0.15">
      <c r="A67" s="244"/>
      <c r="B67" s="125" t="s">
        <v>139</v>
      </c>
      <c r="C67" s="126"/>
      <c r="D67" s="127"/>
      <c r="E67" s="102"/>
      <c r="F67" s="128"/>
      <c r="G67" s="129"/>
      <c r="H67" s="130"/>
      <c r="I67" s="369" t="str">
        <f t="shared" si="4"/>
        <v/>
      </c>
      <c r="J67" s="421"/>
      <c r="K67" s="130"/>
      <c r="L67" s="369" t="str">
        <f t="shared" si="5"/>
        <v/>
      </c>
      <c r="M67" s="421"/>
      <c r="N67" s="130"/>
      <c r="O67" s="369" t="str">
        <f t="shared" si="3"/>
        <v/>
      </c>
      <c r="P67" s="421"/>
      <c r="Q67" s="106"/>
      <c r="R67" s="107"/>
      <c r="S67" s="469"/>
      <c r="T67" s="447"/>
      <c r="U67" s="447"/>
      <c r="V67" s="447"/>
      <c r="W67" s="447"/>
      <c r="X67" s="448"/>
    </row>
    <row r="68" spans="1:24" ht="13.5" customHeight="1" x14ac:dyDescent="0.15">
      <c r="A68" s="244"/>
      <c r="B68" s="125" t="s">
        <v>140</v>
      </c>
      <c r="C68" s="126"/>
      <c r="D68" s="127"/>
      <c r="E68" s="102"/>
      <c r="F68" s="128"/>
      <c r="G68" s="129"/>
      <c r="H68" s="130"/>
      <c r="I68" s="369" t="str">
        <f t="shared" si="4"/>
        <v/>
      </c>
      <c r="J68" s="421"/>
      <c r="K68" s="130"/>
      <c r="L68" s="369" t="str">
        <f t="shared" si="5"/>
        <v/>
      </c>
      <c r="M68" s="421"/>
      <c r="N68" s="130"/>
      <c r="O68" s="369" t="str">
        <f t="shared" si="3"/>
        <v/>
      </c>
      <c r="P68" s="421"/>
      <c r="Q68" s="106"/>
      <c r="R68" s="107"/>
      <c r="S68" s="469"/>
      <c r="T68" s="447"/>
      <c r="U68" s="447"/>
      <c r="V68" s="447"/>
      <c r="W68" s="447"/>
      <c r="X68" s="448"/>
    </row>
    <row r="69" spans="1:24" ht="13.5" customHeight="1" x14ac:dyDescent="0.15">
      <c r="A69" s="244"/>
      <c r="B69" s="125" t="s">
        <v>141</v>
      </c>
      <c r="C69" s="126"/>
      <c r="D69" s="127"/>
      <c r="E69" s="102"/>
      <c r="F69" s="128"/>
      <c r="G69" s="129"/>
      <c r="H69" s="130"/>
      <c r="I69" s="369" t="str">
        <f t="shared" si="4"/>
        <v/>
      </c>
      <c r="J69" s="421"/>
      <c r="K69" s="130"/>
      <c r="L69" s="369" t="str">
        <f t="shared" si="5"/>
        <v/>
      </c>
      <c r="M69" s="421"/>
      <c r="N69" s="130"/>
      <c r="O69" s="369" t="str">
        <f t="shared" si="3"/>
        <v/>
      </c>
      <c r="P69" s="421"/>
      <c r="Q69" s="106"/>
      <c r="R69" s="107"/>
      <c r="S69" s="469"/>
      <c r="T69" s="447"/>
      <c r="U69" s="447"/>
      <c r="V69" s="447"/>
      <c r="W69" s="447"/>
      <c r="X69" s="448"/>
    </row>
    <row r="70" spans="1:24" ht="13.5" customHeight="1" x14ac:dyDescent="0.15">
      <c r="A70" s="244"/>
      <c r="B70" s="125" t="s">
        <v>142</v>
      </c>
      <c r="C70" s="126"/>
      <c r="D70" s="127"/>
      <c r="E70" s="102"/>
      <c r="F70" s="128"/>
      <c r="G70" s="129"/>
      <c r="H70" s="130"/>
      <c r="I70" s="369" t="str">
        <f t="shared" si="4"/>
        <v/>
      </c>
      <c r="J70" s="421"/>
      <c r="K70" s="130"/>
      <c r="L70" s="369" t="str">
        <f t="shared" si="5"/>
        <v/>
      </c>
      <c r="M70" s="421"/>
      <c r="N70" s="130"/>
      <c r="O70" s="369" t="str">
        <f t="shared" si="3"/>
        <v/>
      </c>
      <c r="P70" s="421"/>
      <c r="Q70" s="106"/>
      <c r="R70" s="107"/>
      <c r="S70" s="469"/>
      <c r="T70" s="447"/>
      <c r="U70" s="447"/>
      <c r="V70" s="447"/>
      <c r="W70" s="447"/>
      <c r="X70" s="448"/>
    </row>
    <row r="71" spans="1:24" ht="13.5" customHeight="1" x14ac:dyDescent="0.15">
      <c r="A71" s="244"/>
      <c r="B71" s="125" t="s">
        <v>143</v>
      </c>
      <c r="C71" s="126"/>
      <c r="D71" s="127"/>
      <c r="E71" s="102"/>
      <c r="F71" s="128"/>
      <c r="G71" s="129"/>
      <c r="H71" s="130"/>
      <c r="I71" s="369" t="str">
        <f t="shared" si="4"/>
        <v/>
      </c>
      <c r="J71" s="421"/>
      <c r="K71" s="130"/>
      <c r="L71" s="369" t="str">
        <f t="shared" si="5"/>
        <v/>
      </c>
      <c r="M71" s="421"/>
      <c r="N71" s="130"/>
      <c r="O71" s="369" t="str">
        <f t="shared" si="3"/>
        <v/>
      </c>
      <c r="P71" s="421"/>
      <c r="Q71" s="106"/>
      <c r="R71" s="107"/>
      <c r="S71" s="469"/>
      <c r="T71" s="447"/>
      <c r="U71" s="447"/>
      <c r="V71" s="447"/>
      <c r="W71" s="447"/>
      <c r="X71" s="448"/>
    </row>
    <row r="72" spans="1:24" ht="13.5" customHeight="1" x14ac:dyDescent="0.15">
      <c r="A72" s="244"/>
      <c r="B72" s="125" t="s">
        <v>144</v>
      </c>
      <c r="C72" s="126"/>
      <c r="D72" s="127"/>
      <c r="E72" s="102"/>
      <c r="F72" s="128"/>
      <c r="G72" s="129"/>
      <c r="H72" s="130"/>
      <c r="I72" s="369" t="str">
        <f t="shared" si="4"/>
        <v/>
      </c>
      <c r="J72" s="421"/>
      <c r="K72" s="130"/>
      <c r="L72" s="369" t="str">
        <f t="shared" si="5"/>
        <v/>
      </c>
      <c r="M72" s="421"/>
      <c r="N72" s="130"/>
      <c r="O72" s="369" t="str">
        <f t="shared" si="3"/>
        <v/>
      </c>
      <c r="P72" s="421"/>
      <c r="Q72" s="106"/>
      <c r="R72" s="107"/>
      <c r="S72" s="469"/>
      <c r="T72" s="447"/>
      <c r="U72" s="447"/>
      <c r="V72" s="447"/>
      <c r="W72" s="447"/>
      <c r="X72" s="448"/>
    </row>
    <row r="73" spans="1:24" ht="13.5" customHeight="1" x14ac:dyDescent="0.15">
      <c r="A73" s="244"/>
      <c r="B73" s="125" t="s">
        <v>145</v>
      </c>
      <c r="C73" s="126"/>
      <c r="D73" s="127"/>
      <c r="E73" s="102"/>
      <c r="F73" s="128"/>
      <c r="G73" s="129"/>
      <c r="H73" s="130"/>
      <c r="I73" s="369" t="str">
        <f t="shared" si="4"/>
        <v/>
      </c>
      <c r="J73" s="421"/>
      <c r="K73" s="130"/>
      <c r="L73" s="369" t="str">
        <f t="shared" si="5"/>
        <v/>
      </c>
      <c r="M73" s="421"/>
      <c r="N73" s="130"/>
      <c r="O73" s="369" t="str">
        <f t="shared" si="3"/>
        <v/>
      </c>
      <c r="P73" s="421"/>
      <c r="Q73" s="106"/>
      <c r="R73" s="107"/>
      <c r="S73" s="469"/>
      <c r="T73" s="447"/>
      <c r="U73" s="447"/>
      <c r="V73" s="447"/>
      <c r="W73" s="447"/>
      <c r="X73" s="448"/>
    </row>
    <row r="74" spans="1:24" ht="13.5" customHeight="1" x14ac:dyDescent="0.15">
      <c r="A74" s="244"/>
      <c r="B74" s="125" t="s">
        <v>146</v>
      </c>
      <c r="C74" s="126"/>
      <c r="D74" s="127"/>
      <c r="E74" s="102"/>
      <c r="F74" s="128"/>
      <c r="G74" s="129"/>
      <c r="H74" s="130"/>
      <c r="I74" s="369" t="str">
        <f t="shared" si="4"/>
        <v/>
      </c>
      <c r="J74" s="421"/>
      <c r="K74" s="130"/>
      <c r="L74" s="369" t="str">
        <f t="shared" si="5"/>
        <v/>
      </c>
      <c r="M74" s="421"/>
      <c r="N74" s="130"/>
      <c r="O74" s="369" t="str">
        <f t="shared" si="3"/>
        <v/>
      </c>
      <c r="P74" s="421"/>
      <c r="Q74" s="106"/>
      <c r="R74" s="107"/>
      <c r="S74" s="469"/>
      <c r="T74" s="447"/>
      <c r="U74" s="447"/>
      <c r="V74" s="447"/>
      <c r="W74" s="447"/>
      <c r="X74" s="448"/>
    </row>
    <row r="75" spans="1:24" ht="13.5" customHeight="1" x14ac:dyDescent="0.15">
      <c r="A75" s="244"/>
      <c r="B75" s="125" t="s">
        <v>147</v>
      </c>
      <c r="C75" s="100"/>
      <c r="D75" s="108"/>
      <c r="E75" s="102"/>
      <c r="F75" s="103"/>
      <c r="G75" s="104"/>
      <c r="H75" s="105"/>
      <c r="I75" s="369" t="str">
        <f t="shared" si="4"/>
        <v/>
      </c>
      <c r="J75" s="421"/>
      <c r="K75" s="105"/>
      <c r="L75" s="369" t="str">
        <f t="shared" si="5"/>
        <v/>
      </c>
      <c r="M75" s="421"/>
      <c r="N75" s="105"/>
      <c r="O75" s="369" t="str">
        <f t="shared" si="3"/>
        <v/>
      </c>
      <c r="P75" s="421"/>
      <c r="Q75" s="106"/>
      <c r="R75" s="107"/>
      <c r="S75" s="469"/>
      <c r="T75" s="447"/>
      <c r="U75" s="447"/>
      <c r="V75" s="447"/>
      <c r="W75" s="447"/>
      <c r="X75" s="448"/>
    </row>
    <row r="76" spans="1:24" ht="13.5" customHeight="1" x14ac:dyDescent="0.15">
      <c r="A76" s="244"/>
      <c r="B76" s="125" t="s">
        <v>148</v>
      </c>
      <c r="C76" s="100"/>
      <c r="D76" s="108"/>
      <c r="E76" s="102"/>
      <c r="F76" s="103"/>
      <c r="G76" s="104"/>
      <c r="H76" s="105"/>
      <c r="I76" s="369" t="str">
        <f t="shared" si="4"/>
        <v/>
      </c>
      <c r="J76" s="421"/>
      <c r="K76" s="105"/>
      <c r="L76" s="369" t="str">
        <f t="shared" si="5"/>
        <v/>
      </c>
      <c r="M76" s="421"/>
      <c r="N76" s="105"/>
      <c r="O76" s="369" t="str">
        <f t="shared" si="3"/>
        <v/>
      </c>
      <c r="P76" s="421"/>
      <c r="Q76" s="106"/>
      <c r="R76" s="107"/>
      <c r="S76" s="469"/>
      <c r="T76" s="447"/>
      <c r="U76" s="447"/>
      <c r="V76" s="447"/>
      <c r="W76" s="447"/>
      <c r="X76" s="448"/>
    </row>
    <row r="77" spans="1:24" ht="13.5" customHeight="1" x14ac:dyDescent="0.15">
      <c r="A77" s="244"/>
      <c r="B77" s="125" t="s">
        <v>149</v>
      </c>
      <c r="C77" s="100"/>
      <c r="D77" s="108"/>
      <c r="E77" s="102"/>
      <c r="F77" s="103"/>
      <c r="G77" s="104"/>
      <c r="H77" s="105"/>
      <c r="I77" s="369" t="str">
        <f t="shared" si="4"/>
        <v/>
      </c>
      <c r="J77" s="421"/>
      <c r="K77" s="105"/>
      <c r="L77" s="369" t="str">
        <f t="shared" si="5"/>
        <v/>
      </c>
      <c r="M77" s="421"/>
      <c r="N77" s="105"/>
      <c r="O77" s="369" t="str">
        <f t="shared" si="3"/>
        <v/>
      </c>
      <c r="P77" s="421"/>
      <c r="Q77" s="106"/>
      <c r="R77" s="107"/>
      <c r="S77" s="469"/>
      <c r="T77" s="447"/>
      <c r="U77" s="447"/>
      <c r="V77" s="447"/>
      <c r="W77" s="447"/>
      <c r="X77" s="448"/>
    </row>
    <row r="78" spans="1:24" ht="13.5" customHeight="1" x14ac:dyDescent="0.15">
      <c r="A78" s="244"/>
      <c r="B78" s="125" t="s">
        <v>150</v>
      </c>
      <c r="C78" s="100"/>
      <c r="D78" s="108"/>
      <c r="E78" s="102"/>
      <c r="F78" s="103"/>
      <c r="G78" s="104"/>
      <c r="H78" s="105"/>
      <c r="I78" s="369" t="str">
        <f t="shared" si="4"/>
        <v/>
      </c>
      <c r="J78" s="421"/>
      <c r="K78" s="105"/>
      <c r="L78" s="369" t="str">
        <f t="shared" si="5"/>
        <v/>
      </c>
      <c r="M78" s="421"/>
      <c r="N78" s="105"/>
      <c r="O78" s="369" t="str">
        <f t="shared" si="3"/>
        <v/>
      </c>
      <c r="P78" s="421"/>
      <c r="Q78" s="106"/>
      <c r="R78" s="107"/>
      <c r="S78" s="469"/>
      <c r="T78" s="447"/>
      <c r="U78" s="447"/>
      <c r="V78" s="447"/>
      <c r="W78" s="447"/>
      <c r="X78" s="448"/>
    </row>
    <row r="79" spans="1:24" ht="13.5" customHeight="1" x14ac:dyDescent="0.15">
      <c r="A79" s="244"/>
      <c r="B79" s="125" t="s">
        <v>151</v>
      </c>
      <c r="C79" s="100"/>
      <c r="D79" s="108"/>
      <c r="E79" s="102"/>
      <c r="F79" s="103"/>
      <c r="G79" s="104"/>
      <c r="H79" s="105"/>
      <c r="I79" s="369" t="str">
        <f t="shared" si="4"/>
        <v/>
      </c>
      <c r="J79" s="421"/>
      <c r="K79" s="105"/>
      <c r="L79" s="369" t="str">
        <f t="shared" si="5"/>
        <v/>
      </c>
      <c r="M79" s="421"/>
      <c r="N79" s="105"/>
      <c r="O79" s="369" t="str">
        <f t="shared" si="3"/>
        <v/>
      </c>
      <c r="P79" s="421"/>
      <c r="Q79" s="106"/>
      <c r="R79" s="107"/>
      <c r="S79" s="469"/>
      <c r="T79" s="447"/>
      <c r="U79" s="447"/>
      <c r="V79" s="447"/>
      <c r="W79" s="447"/>
      <c r="X79" s="448"/>
    </row>
    <row r="80" spans="1:24" ht="13.5" customHeight="1" x14ac:dyDescent="0.15">
      <c r="A80" s="244"/>
      <c r="B80" s="125" t="s">
        <v>152</v>
      </c>
      <c r="C80" s="100"/>
      <c r="D80" s="108"/>
      <c r="E80" s="102"/>
      <c r="F80" s="103"/>
      <c r="G80" s="104"/>
      <c r="H80" s="105"/>
      <c r="I80" s="369" t="str">
        <f t="shared" si="4"/>
        <v/>
      </c>
      <c r="J80" s="421"/>
      <c r="K80" s="105"/>
      <c r="L80" s="369" t="str">
        <f t="shared" si="5"/>
        <v/>
      </c>
      <c r="M80" s="421"/>
      <c r="N80" s="105"/>
      <c r="O80" s="369" t="str">
        <f t="shared" si="3"/>
        <v/>
      </c>
      <c r="P80" s="421"/>
      <c r="Q80" s="106"/>
      <c r="R80" s="107"/>
      <c r="S80" s="469"/>
      <c r="T80" s="447"/>
      <c r="U80" s="447"/>
      <c r="V80" s="447"/>
      <c r="W80" s="447"/>
      <c r="X80" s="448"/>
    </row>
    <row r="81" spans="1:24" ht="13.5" customHeight="1" x14ac:dyDescent="0.15">
      <c r="A81" s="244"/>
      <c r="B81" s="125" t="s">
        <v>153</v>
      </c>
      <c r="C81" s="100"/>
      <c r="D81" s="108"/>
      <c r="E81" s="102"/>
      <c r="F81" s="103"/>
      <c r="G81" s="104"/>
      <c r="H81" s="105"/>
      <c r="I81" s="369" t="str">
        <f t="shared" si="4"/>
        <v/>
      </c>
      <c r="J81" s="421"/>
      <c r="K81" s="105"/>
      <c r="L81" s="369" t="str">
        <f t="shared" si="5"/>
        <v/>
      </c>
      <c r="M81" s="421"/>
      <c r="N81" s="105"/>
      <c r="O81" s="369" t="str">
        <f t="shared" si="3"/>
        <v/>
      </c>
      <c r="P81" s="421"/>
      <c r="Q81" s="106"/>
      <c r="R81" s="107"/>
      <c r="S81" s="469"/>
      <c r="T81" s="447"/>
      <c r="U81" s="447"/>
      <c r="V81" s="447"/>
      <c r="W81" s="447"/>
      <c r="X81" s="448"/>
    </row>
    <row r="82" spans="1:24" ht="13.5" customHeight="1" x14ac:dyDescent="0.15">
      <c r="A82" s="244"/>
      <c r="B82" s="125" t="s">
        <v>154</v>
      </c>
      <c r="C82" s="100"/>
      <c r="D82" s="108"/>
      <c r="E82" s="102"/>
      <c r="F82" s="103"/>
      <c r="G82" s="104"/>
      <c r="H82" s="105"/>
      <c r="I82" s="369" t="str">
        <f t="shared" si="4"/>
        <v/>
      </c>
      <c r="J82" s="421"/>
      <c r="K82" s="105"/>
      <c r="L82" s="369" t="str">
        <f t="shared" si="5"/>
        <v/>
      </c>
      <c r="M82" s="421"/>
      <c r="N82" s="105"/>
      <c r="O82" s="369" t="str">
        <f t="shared" si="3"/>
        <v/>
      </c>
      <c r="P82" s="421"/>
      <c r="Q82" s="106"/>
      <c r="R82" s="107"/>
      <c r="S82" s="469"/>
      <c r="T82" s="447"/>
      <c r="U82" s="447"/>
      <c r="V82" s="447"/>
      <c r="W82" s="447"/>
      <c r="X82" s="448"/>
    </row>
    <row r="83" spans="1:24" ht="13.5" customHeight="1" x14ac:dyDescent="0.15">
      <c r="A83" s="244"/>
      <c r="B83" s="125" t="s">
        <v>155</v>
      </c>
      <c r="C83" s="100"/>
      <c r="D83" s="108"/>
      <c r="E83" s="102"/>
      <c r="F83" s="103"/>
      <c r="G83" s="104"/>
      <c r="H83" s="105"/>
      <c r="I83" s="369" t="str">
        <f t="shared" si="4"/>
        <v/>
      </c>
      <c r="J83" s="421"/>
      <c r="K83" s="105"/>
      <c r="L83" s="369" t="str">
        <f t="shared" si="5"/>
        <v/>
      </c>
      <c r="M83" s="421"/>
      <c r="N83" s="105"/>
      <c r="O83" s="369" t="str">
        <f t="shared" si="3"/>
        <v/>
      </c>
      <c r="P83" s="421"/>
      <c r="Q83" s="106"/>
      <c r="R83" s="107"/>
      <c r="S83" s="469"/>
      <c r="T83" s="447"/>
      <c r="U83" s="447"/>
      <c r="V83" s="447"/>
      <c r="W83" s="447"/>
      <c r="X83" s="448"/>
    </row>
    <row r="84" spans="1:24" ht="13.5" customHeight="1" x14ac:dyDescent="0.15">
      <c r="A84" s="244"/>
      <c r="B84" s="125" t="s">
        <v>156</v>
      </c>
      <c r="C84" s="100"/>
      <c r="D84" s="108"/>
      <c r="E84" s="102"/>
      <c r="F84" s="103"/>
      <c r="G84" s="104"/>
      <c r="H84" s="105"/>
      <c r="I84" s="369" t="str">
        <f t="shared" si="4"/>
        <v/>
      </c>
      <c r="J84" s="421"/>
      <c r="K84" s="105"/>
      <c r="L84" s="369" t="str">
        <f t="shared" si="5"/>
        <v/>
      </c>
      <c r="M84" s="421"/>
      <c r="N84" s="105"/>
      <c r="O84" s="369" t="str">
        <f t="shared" si="3"/>
        <v/>
      </c>
      <c r="P84" s="421"/>
      <c r="Q84" s="106"/>
      <c r="R84" s="107"/>
      <c r="S84" s="469"/>
      <c r="T84" s="447"/>
      <c r="U84" s="447"/>
      <c r="V84" s="447"/>
      <c r="W84" s="447"/>
      <c r="X84" s="448"/>
    </row>
    <row r="85" spans="1:24" ht="13.5" customHeight="1" x14ac:dyDescent="0.15">
      <c r="A85" s="244"/>
      <c r="B85" s="125" t="s">
        <v>157</v>
      </c>
      <c r="C85" s="100"/>
      <c r="D85" s="108"/>
      <c r="E85" s="102"/>
      <c r="F85" s="103"/>
      <c r="G85" s="104"/>
      <c r="H85" s="105"/>
      <c r="I85" s="369" t="str">
        <f t="shared" si="4"/>
        <v/>
      </c>
      <c r="J85" s="421"/>
      <c r="K85" s="105"/>
      <c r="L85" s="369" t="str">
        <f t="shared" si="5"/>
        <v/>
      </c>
      <c r="M85" s="421"/>
      <c r="N85" s="105"/>
      <c r="O85" s="369" t="str">
        <f t="shared" si="3"/>
        <v/>
      </c>
      <c r="P85" s="421"/>
      <c r="Q85" s="106"/>
      <c r="R85" s="107"/>
      <c r="S85" s="469"/>
      <c r="T85" s="447"/>
      <c r="U85" s="447"/>
      <c r="V85" s="447"/>
      <c r="W85" s="447"/>
      <c r="X85" s="448"/>
    </row>
    <row r="86" spans="1:24" ht="13.5" customHeight="1" x14ac:dyDescent="0.15">
      <c r="A86" s="244"/>
      <c r="B86" s="125" t="s">
        <v>158</v>
      </c>
      <c r="C86" s="100"/>
      <c r="D86" s="108"/>
      <c r="E86" s="102"/>
      <c r="F86" s="103"/>
      <c r="G86" s="104"/>
      <c r="H86" s="105"/>
      <c r="I86" s="369" t="str">
        <f t="shared" si="4"/>
        <v/>
      </c>
      <c r="J86" s="421"/>
      <c r="K86" s="105"/>
      <c r="L86" s="369" t="str">
        <f t="shared" si="5"/>
        <v/>
      </c>
      <c r="M86" s="421"/>
      <c r="N86" s="105"/>
      <c r="O86" s="369" t="str">
        <f t="shared" si="3"/>
        <v/>
      </c>
      <c r="P86" s="421"/>
      <c r="Q86" s="106"/>
      <c r="R86" s="107"/>
      <c r="S86" s="469"/>
      <c r="T86" s="447"/>
      <c r="U86" s="447"/>
      <c r="V86" s="447"/>
      <c r="W86" s="447"/>
      <c r="X86" s="448"/>
    </row>
    <row r="87" spans="1:24" ht="13.5" customHeight="1" x14ac:dyDescent="0.15">
      <c r="A87" s="244"/>
      <c r="B87" s="125" t="s">
        <v>159</v>
      </c>
      <c r="C87" s="100"/>
      <c r="D87" s="108"/>
      <c r="E87" s="102"/>
      <c r="F87" s="103"/>
      <c r="G87" s="104"/>
      <c r="H87" s="105"/>
      <c r="I87" s="369" t="str">
        <f t="shared" si="4"/>
        <v/>
      </c>
      <c r="J87" s="421"/>
      <c r="K87" s="105"/>
      <c r="L87" s="369" t="str">
        <f t="shared" si="5"/>
        <v/>
      </c>
      <c r="M87" s="421"/>
      <c r="N87" s="105"/>
      <c r="O87" s="369" t="str">
        <f t="shared" si="3"/>
        <v/>
      </c>
      <c r="P87" s="421"/>
      <c r="Q87" s="106"/>
      <c r="R87" s="107"/>
      <c r="S87" s="469"/>
      <c r="T87" s="447"/>
      <c r="U87" s="447"/>
      <c r="V87" s="447"/>
      <c r="W87" s="447"/>
      <c r="X87" s="448"/>
    </row>
    <row r="88" spans="1:24" ht="13.5" customHeight="1" x14ac:dyDescent="0.15">
      <c r="A88" s="244"/>
      <c r="B88" s="125" t="s">
        <v>160</v>
      </c>
      <c r="C88" s="100"/>
      <c r="D88" s="108"/>
      <c r="E88" s="102"/>
      <c r="F88" s="103"/>
      <c r="G88" s="104"/>
      <c r="H88" s="105"/>
      <c r="I88" s="369" t="str">
        <f t="shared" si="4"/>
        <v/>
      </c>
      <c r="J88" s="421"/>
      <c r="K88" s="105"/>
      <c r="L88" s="369" t="str">
        <f t="shared" si="5"/>
        <v/>
      </c>
      <c r="M88" s="421"/>
      <c r="N88" s="105"/>
      <c r="O88" s="369" t="str">
        <f t="shared" si="3"/>
        <v/>
      </c>
      <c r="P88" s="421"/>
      <c r="Q88" s="106"/>
      <c r="R88" s="107"/>
      <c r="S88" s="469"/>
      <c r="T88" s="447"/>
      <c r="U88" s="447"/>
      <c r="V88" s="447"/>
      <c r="W88" s="447"/>
      <c r="X88" s="448"/>
    </row>
    <row r="89" spans="1:24" ht="13.5" customHeight="1" x14ac:dyDescent="0.15">
      <c r="A89" s="244"/>
      <c r="B89" s="125" t="s">
        <v>161</v>
      </c>
      <c r="C89" s="100"/>
      <c r="D89" s="108"/>
      <c r="E89" s="102"/>
      <c r="F89" s="103"/>
      <c r="G89" s="104"/>
      <c r="H89" s="105"/>
      <c r="I89" s="369" t="str">
        <f t="shared" si="4"/>
        <v/>
      </c>
      <c r="J89" s="421"/>
      <c r="K89" s="105"/>
      <c r="L89" s="369" t="str">
        <f t="shared" si="5"/>
        <v/>
      </c>
      <c r="M89" s="421"/>
      <c r="N89" s="105"/>
      <c r="O89" s="369" t="str">
        <f t="shared" si="3"/>
        <v/>
      </c>
      <c r="P89" s="421"/>
      <c r="Q89" s="106"/>
      <c r="R89" s="107"/>
      <c r="S89" s="469"/>
      <c r="T89" s="447"/>
      <c r="U89" s="447"/>
      <c r="V89" s="447"/>
      <c r="W89" s="447"/>
      <c r="X89" s="448"/>
    </row>
    <row r="90" spans="1:24" ht="13.5" customHeight="1" x14ac:dyDescent="0.15">
      <c r="A90" s="244"/>
      <c r="B90" s="125" t="s">
        <v>162</v>
      </c>
      <c r="C90" s="100"/>
      <c r="D90" s="108"/>
      <c r="E90" s="102"/>
      <c r="F90" s="103"/>
      <c r="G90" s="104"/>
      <c r="H90" s="105"/>
      <c r="I90" s="369" t="str">
        <f t="shared" si="4"/>
        <v/>
      </c>
      <c r="J90" s="421"/>
      <c r="K90" s="105"/>
      <c r="L90" s="369" t="str">
        <f t="shared" si="5"/>
        <v/>
      </c>
      <c r="M90" s="421"/>
      <c r="N90" s="105"/>
      <c r="O90" s="369" t="str">
        <f t="shared" si="3"/>
        <v/>
      </c>
      <c r="P90" s="421"/>
      <c r="Q90" s="106"/>
      <c r="R90" s="107"/>
      <c r="S90" s="469"/>
      <c r="T90" s="447"/>
      <c r="U90" s="447"/>
      <c r="V90" s="447"/>
      <c r="W90" s="447"/>
      <c r="X90" s="448"/>
    </row>
    <row r="91" spans="1:24" ht="13.5" customHeight="1" x14ac:dyDescent="0.15">
      <c r="A91" s="244"/>
      <c r="B91" s="125" t="s">
        <v>163</v>
      </c>
      <c r="C91" s="100"/>
      <c r="D91" s="108"/>
      <c r="E91" s="102"/>
      <c r="F91" s="103"/>
      <c r="G91" s="104"/>
      <c r="H91" s="105"/>
      <c r="I91" s="369" t="str">
        <f t="shared" si="4"/>
        <v/>
      </c>
      <c r="J91" s="421"/>
      <c r="K91" s="105"/>
      <c r="L91" s="369" t="str">
        <f t="shared" si="5"/>
        <v/>
      </c>
      <c r="M91" s="421"/>
      <c r="N91" s="105"/>
      <c r="O91" s="369" t="str">
        <f t="shared" si="3"/>
        <v/>
      </c>
      <c r="P91" s="421"/>
      <c r="Q91" s="106"/>
      <c r="R91" s="107"/>
      <c r="S91" s="469"/>
      <c r="T91" s="447"/>
      <c r="U91" s="447"/>
      <c r="V91" s="447"/>
      <c r="W91" s="447"/>
      <c r="X91" s="448"/>
    </row>
    <row r="92" spans="1:24" ht="13.5" customHeight="1" x14ac:dyDescent="0.15">
      <c r="A92" s="244"/>
      <c r="B92" s="125" t="s">
        <v>164</v>
      </c>
      <c r="C92" s="100"/>
      <c r="D92" s="108"/>
      <c r="E92" s="102"/>
      <c r="F92" s="103"/>
      <c r="G92" s="104"/>
      <c r="H92" s="105"/>
      <c r="I92" s="369" t="str">
        <f t="shared" si="4"/>
        <v/>
      </c>
      <c r="J92" s="421"/>
      <c r="K92" s="105"/>
      <c r="L92" s="369" t="str">
        <f t="shared" si="5"/>
        <v/>
      </c>
      <c r="M92" s="421"/>
      <c r="N92" s="105"/>
      <c r="O92" s="369" t="str">
        <f t="shared" si="3"/>
        <v/>
      </c>
      <c r="P92" s="421"/>
      <c r="Q92" s="106"/>
      <c r="R92" s="107"/>
      <c r="S92" s="469"/>
      <c r="T92" s="447"/>
      <c r="U92" s="447"/>
      <c r="V92" s="447"/>
      <c r="W92" s="447"/>
      <c r="X92" s="448"/>
    </row>
    <row r="93" spans="1:24" ht="14.25" customHeight="1" thickBot="1" x14ac:dyDescent="0.2">
      <c r="A93" s="244"/>
      <c r="B93" s="125" t="s">
        <v>165</v>
      </c>
      <c r="C93" s="100"/>
      <c r="D93" s="108"/>
      <c r="E93" s="102"/>
      <c r="F93" s="103"/>
      <c r="G93" s="104"/>
      <c r="H93" s="105"/>
      <c r="I93" s="369" t="str">
        <f t="shared" si="4"/>
        <v/>
      </c>
      <c r="J93" s="421"/>
      <c r="K93" s="105"/>
      <c r="L93" s="369" t="str">
        <f t="shared" si="5"/>
        <v/>
      </c>
      <c r="M93" s="421"/>
      <c r="N93" s="105"/>
      <c r="O93" s="369" t="str">
        <f t="shared" si="3"/>
        <v/>
      </c>
      <c r="P93" s="421"/>
      <c r="Q93" s="106"/>
      <c r="R93" s="107"/>
      <c r="S93" s="470"/>
      <c r="T93" s="449"/>
      <c r="U93" s="449"/>
      <c r="V93" s="449"/>
      <c r="W93" s="449"/>
      <c r="X93" s="450"/>
    </row>
    <row r="94" spans="1:24" ht="14.25" customHeight="1" thickBot="1" x14ac:dyDescent="0.2">
      <c r="A94" s="244"/>
      <c r="B94" s="131"/>
      <c r="C94" s="132"/>
      <c r="D94" s="133"/>
      <c r="E94" s="133" t="s">
        <v>166</v>
      </c>
      <c r="F94" s="134"/>
      <c r="G94" s="135"/>
      <c r="H94" s="136">
        <f t="shared" ref="H94:N94" si="6">SUM(H55:H93)</f>
        <v>0</v>
      </c>
      <c r="I94" s="396">
        <f t="shared" si="6"/>
        <v>0</v>
      </c>
      <c r="J94" s="424"/>
      <c r="K94" s="136">
        <f t="shared" si="6"/>
        <v>0</v>
      </c>
      <c r="L94" s="375">
        <f>SUM(L55:L93)</f>
        <v>0</v>
      </c>
      <c r="M94" s="431"/>
      <c r="N94" s="136">
        <f t="shared" si="6"/>
        <v>0</v>
      </c>
      <c r="O94" s="375">
        <f>SUM(O55:O93)</f>
        <v>0</v>
      </c>
      <c r="P94" s="431"/>
      <c r="Q94" s="137"/>
      <c r="R94" s="138"/>
      <c r="S94" s="316"/>
      <c r="T94" s="316"/>
      <c r="U94" s="316"/>
      <c r="V94" s="316"/>
      <c r="W94" s="316"/>
      <c r="X94" s="316"/>
    </row>
    <row r="95" spans="1:24" ht="14.25" customHeight="1" x14ac:dyDescent="0.15">
      <c r="A95" s="244"/>
      <c r="B95" s="139"/>
      <c r="C95" s="140"/>
      <c r="D95" s="141"/>
      <c r="E95" s="141" t="s">
        <v>167</v>
      </c>
      <c r="F95" s="142"/>
      <c r="G95" s="143"/>
      <c r="H95" s="144"/>
      <c r="I95" s="397"/>
      <c r="J95" s="425"/>
      <c r="K95" s="144"/>
      <c r="L95" s="376"/>
      <c r="M95" s="432"/>
      <c r="N95" s="144"/>
      <c r="O95" s="376"/>
      <c r="P95" s="432"/>
      <c r="Q95" s="145"/>
      <c r="R95" s="107"/>
      <c r="S95" s="76"/>
      <c r="T95" s="78"/>
      <c r="U95" s="77" t="s">
        <v>268</v>
      </c>
      <c r="V95" s="78"/>
      <c r="W95" s="78"/>
      <c r="X95" s="79"/>
    </row>
    <row r="96" spans="1:24" ht="13.5" customHeight="1" thickBot="1" x14ac:dyDescent="0.2">
      <c r="A96" s="244"/>
      <c r="B96" s="125" t="s">
        <v>267</v>
      </c>
      <c r="C96" s="126"/>
      <c r="D96" s="127"/>
      <c r="E96" s="102"/>
      <c r="F96" s="128"/>
      <c r="G96" s="129"/>
      <c r="H96" s="130"/>
      <c r="I96" s="369" t="str">
        <f>IF($H96="","",F96*H96/G96)</f>
        <v/>
      </c>
      <c r="J96" s="421"/>
      <c r="K96" s="130"/>
      <c r="L96" s="377" t="str">
        <f>IF($K96="","",F96*K96/G96)</f>
        <v/>
      </c>
      <c r="M96" s="433"/>
      <c r="N96" s="130"/>
      <c r="O96" s="377" t="str">
        <f>IF($N96="","",F96*N96/G96)</f>
        <v/>
      </c>
      <c r="P96" s="433"/>
      <c r="Q96" s="106"/>
      <c r="R96" s="107"/>
      <c r="S96" s="87"/>
      <c r="T96" s="89"/>
      <c r="U96" s="88" t="s">
        <v>336</v>
      </c>
      <c r="V96" s="89"/>
      <c r="W96" s="89"/>
      <c r="X96" s="90"/>
    </row>
    <row r="97" spans="1:24" ht="13.5" customHeight="1" x14ac:dyDescent="0.15">
      <c r="A97" s="244"/>
      <c r="B97" s="125" t="s">
        <v>168</v>
      </c>
      <c r="C97" s="126"/>
      <c r="D97" s="127"/>
      <c r="E97" s="102"/>
      <c r="F97" s="128"/>
      <c r="G97" s="129"/>
      <c r="H97" s="130"/>
      <c r="I97" s="369" t="str">
        <f t="shared" ref="I97:I134" si="7">IF($H97="","",F97*H97/G97)</f>
        <v/>
      </c>
      <c r="J97" s="421"/>
      <c r="K97" s="130"/>
      <c r="L97" s="377" t="str">
        <f t="shared" ref="L97:L134" si="8">IF($K97="","",F97*K97/G97)</f>
        <v/>
      </c>
      <c r="M97" s="433"/>
      <c r="N97" s="130"/>
      <c r="O97" s="377" t="str">
        <f t="shared" ref="O97:O134" si="9">IF($N97="","",F97*N97/G97)</f>
        <v/>
      </c>
      <c r="P97" s="433"/>
      <c r="Q97" s="106"/>
      <c r="R97" s="107"/>
      <c r="S97" s="451"/>
      <c r="T97" s="460"/>
      <c r="U97" s="460"/>
      <c r="V97" s="460"/>
      <c r="W97" s="460"/>
      <c r="X97" s="461"/>
    </row>
    <row r="98" spans="1:24" ht="13.5" customHeight="1" x14ac:dyDescent="0.15">
      <c r="A98" s="244"/>
      <c r="B98" s="125" t="s">
        <v>169</v>
      </c>
      <c r="C98" s="126"/>
      <c r="D98" s="127"/>
      <c r="E98" s="102"/>
      <c r="F98" s="128"/>
      <c r="G98" s="129"/>
      <c r="H98" s="130"/>
      <c r="I98" s="369" t="str">
        <f t="shared" si="7"/>
        <v/>
      </c>
      <c r="J98" s="421"/>
      <c r="K98" s="130"/>
      <c r="L98" s="377" t="str">
        <f t="shared" si="8"/>
        <v/>
      </c>
      <c r="M98" s="433"/>
      <c r="N98" s="130"/>
      <c r="O98" s="377" t="str">
        <f t="shared" si="9"/>
        <v/>
      </c>
      <c r="P98" s="433"/>
      <c r="Q98" s="106"/>
      <c r="R98" s="107"/>
      <c r="S98" s="462"/>
      <c r="T98" s="463"/>
      <c r="U98" s="463"/>
      <c r="V98" s="463"/>
      <c r="W98" s="463"/>
      <c r="X98" s="464"/>
    </row>
    <row r="99" spans="1:24" ht="13.5" customHeight="1" x14ac:dyDescent="0.15">
      <c r="A99" s="244"/>
      <c r="B99" s="125" t="s">
        <v>170</v>
      </c>
      <c r="C99" s="126"/>
      <c r="D99" s="127"/>
      <c r="E99" s="102"/>
      <c r="F99" s="128"/>
      <c r="G99" s="129"/>
      <c r="H99" s="130"/>
      <c r="I99" s="369" t="str">
        <f t="shared" si="7"/>
        <v/>
      </c>
      <c r="J99" s="421"/>
      <c r="K99" s="130"/>
      <c r="L99" s="377" t="str">
        <f t="shared" si="8"/>
        <v/>
      </c>
      <c r="M99" s="433"/>
      <c r="N99" s="130"/>
      <c r="O99" s="377" t="str">
        <f t="shared" si="9"/>
        <v/>
      </c>
      <c r="P99" s="433"/>
      <c r="Q99" s="106"/>
      <c r="R99" s="107"/>
      <c r="S99" s="462"/>
      <c r="T99" s="463"/>
      <c r="U99" s="463"/>
      <c r="V99" s="463"/>
      <c r="W99" s="463"/>
      <c r="X99" s="464"/>
    </row>
    <row r="100" spans="1:24" ht="13.5" customHeight="1" x14ac:dyDescent="0.15">
      <c r="A100" s="244"/>
      <c r="B100" s="125" t="s">
        <v>171</v>
      </c>
      <c r="C100" s="126"/>
      <c r="D100" s="127"/>
      <c r="E100" s="102"/>
      <c r="F100" s="128"/>
      <c r="G100" s="129"/>
      <c r="H100" s="130"/>
      <c r="I100" s="369" t="str">
        <f t="shared" si="7"/>
        <v/>
      </c>
      <c r="J100" s="421"/>
      <c r="K100" s="130"/>
      <c r="L100" s="377" t="str">
        <f t="shared" si="8"/>
        <v/>
      </c>
      <c r="M100" s="433"/>
      <c r="N100" s="130"/>
      <c r="O100" s="377" t="str">
        <f t="shared" si="9"/>
        <v/>
      </c>
      <c r="P100" s="433"/>
      <c r="Q100" s="106"/>
      <c r="R100" s="107"/>
      <c r="S100" s="462"/>
      <c r="T100" s="463"/>
      <c r="U100" s="463"/>
      <c r="V100" s="463"/>
      <c r="W100" s="463"/>
      <c r="X100" s="464"/>
    </row>
    <row r="101" spans="1:24" ht="13.5" customHeight="1" x14ac:dyDescent="0.15">
      <c r="A101" s="244"/>
      <c r="B101" s="125" t="s">
        <v>172</v>
      </c>
      <c r="C101" s="126"/>
      <c r="D101" s="127"/>
      <c r="E101" s="102"/>
      <c r="F101" s="128"/>
      <c r="G101" s="129"/>
      <c r="H101" s="130"/>
      <c r="I101" s="369" t="str">
        <f t="shared" si="7"/>
        <v/>
      </c>
      <c r="J101" s="421"/>
      <c r="K101" s="130"/>
      <c r="L101" s="377" t="str">
        <f t="shared" si="8"/>
        <v/>
      </c>
      <c r="M101" s="433"/>
      <c r="N101" s="130"/>
      <c r="O101" s="377" t="str">
        <f t="shared" si="9"/>
        <v/>
      </c>
      <c r="P101" s="433"/>
      <c r="Q101" s="106"/>
      <c r="R101" s="107"/>
      <c r="S101" s="462"/>
      <c r="T101" s="463"/>
      <c r="U101" s="463"/>
      <c r="V101" s="463"/>
      <c r="W101" s="463"/>
      <c r="X101" s="464"/>
    </row>
    <row r="102" spans="1:24" ht="13.5" customHeight="1" x14ac:dyDescent="0.15">
      <c r="A102" s="244"/>
      <c r="B102" s="125" t="s">
        <v>173</v>
      </c>
      <c r="C102" s="126"/>
      <c r="D102" s="127"/>
      <c r="E102" s="102"/>
      <c r="F102" s="128"/>
      <c r="G102" s="129"/>
      <c r="H102" s="130"/>
      <c r="I102" s="369" t="str">
        <f t="shared" si="7"/>
        <v/>
      </c>
      <c r="J102" s="421"/>
      <c r="K102" s="130"/>
      <c r="L102" s="377" t="str">
        <f t="shared" si="8"/>
        <v/>
      </c>
      <c r="M102" s="433"/>
      <c r="N102" s="130"/>
      <c r="O102" s="377" t="str">
        <f t="shared" si="9"/>
        <v/>
      </c>
      <c r="P102" s="433"/>
      <c r="Q102" s="106"/>
      <c r="R102" s="107"/>
      <c r="S102" s="462"/>
      <c r="T102" s="463"/>
      <c r="U102" s="463"/>
      <c r="V102" s="463"/>
      <c r="W102" s="463"/>
      <c r="X102" s="464"/>
    </row>
    <row r="103" spans="1:24" ht="13.5" customHeight="1" x14ac:dyDescent="0.15">
      <c r="A103" s="244"/>
      <c r="B103" s="125" t="s">
        <v>174</v>
      </c>
      <c r="C103" s="126"/>
      <c r="D103" s="127"/>
      <c r="E103" s="102"/>
      <c r="F103" s="128"/>
      <c r="G103" s="129"/>
      <c r="H103" s="130"/>
      <c r="I103" s="369" t="str">
        <f t="shared" si="7"/>
        <v/>
      </c>
      <c r="J103" s="421"/>
      <c r="K103" s="130"/>
      <c r="L103" s="377" t="str">
        <f t="shared" si="8"/>
        <v/>
      </c>
      <c r="M103" s="433"/>
      <c r="N103" s="130"/>
      <c r="O103" s="377" t="str">
        <f t="shared" si="9"/>
        <v/>
      </c>
      <c r="P103" s="433"/>
      <c r="Q103" s="106"/>
      <c r="R103" s="107"/>
      <c r="S103" s="462"/>
      <c r="T103" s="463"/>
      <c r="U103" s="463"/>
      <c r="V103" s="463"/>
      <c r="W103" s="463"/>
      <c r="X103" s="464"/>
    </row>
    <row r="104" spans="1:24" ht="13.5" customHeight="1" x14ac:dyDescent="0.15">
      <c r="A104" s="244"/>
      <c r="B104" s="125" t="s">
        <v>175</v>
      </c>
      <c r="C104" s="126"/>
      <c r="D104" s="127"/>
      <c r="E104" s="102"/>
      <c r="F104" s="128"/>
      <c r="G104" s="129"/>
      <c r="H104" s="130"/>
      <c r="I104" s="369" t="str">
        <f t="shared" si="7"/>
        <v/>
      </c>
      <c r="J104" s="421"/>
      <c r="K104" s="130"/>
      <c r="L104" s="377" t="str">
        <f t="shared" si="8"/>
        <v/>
      </c>
      <c r="M104" s="433"/>
      <c r="N104" s="130"/>
      <c r="O104" s="377" t="str">
        <f t="shared" si="9"/>
        <v/>
      </c>
      <c r="P104" s="433"/>
      <c r="Q104" s="106"/>
      <c r="R104" s="107"/>
      <c r="S104" s="462"/>
      <c r="T104" s="463"/>
      <c r="U104" s="463"/>
      <c r="V104" s="463"/>
      <c r="W104" s="463"/>
      <c r="X104" s="464"/>
    </row>
    <row r="105" spans="1:24" ht="13.5" customHeight="1" x14ac:dyDescent="0.15">
      <c r="A105" s="244"/>
      <c r="B105" s="125" t="s">
        <v>176</v>
      </c>
      <c r="C105" s="126"/>
      <c r="D105" s="127"/>
      <c r="E105" s="102"/>
      <c r="F105" s="128"/>
      <c r="G105" s="129"/>
      <c r="H105" s="130"/>
      <c r="I105" s="369" t="str">
        <f t="shared" si="7"/>
        <v/>
      </c>
      <c r="J105" s="421"/>
      <c r="K105" s="130"/>
      <c r="L105" s="377" t="str">
        <f t="shared" si="8"/>
        <v/>
      </c>
      <c r="M105" s="433"/>
      <c r="N105" s="130"/>
      <c r="O105" s="377" t="str">
        <f t="shared" si="9"/>
        <v/>
      </c>
      <c r="P105" s="433"/>
      <c r="Q105" s="106"/>
      <c r="R105" s="107"/>
      <c r="S105" s="462"/>
      <c r="T105" s="463"/>
      <c r="U105" s="463"/>
      <c r="V105" s="463"/>
      <c r="W105" s="463"/>
      <c r="X105" s="464"/>
    </row>
    <row r="106" spans="1:24" ht="13.5" customHeight="1" x14ac:dyDescent="0.15">
      <c r="A106" s="244"/>
      <c r="B106" s="125" t="s">
        <v>177</v>
      </c>
      <c r="C106" s="126"/>
      <c r="D106" s="127"/>
      <c r="E106" s="102"/>
      <c r="F106" s="128"/>
      <c r="G106" s="129"/>
      <c r="H106" s="130"/>
      <c r="I106" s="369" t="str">
        <f t="shared" si="7"/>
        <v/>
      </c>
      <c r="J106" s="421"/>
      <c r="K106" s="130"/>
      <c r="L106" s="377" t="str">
        <f t="shared" si="8"/>
        <v/>
      </c>
      <c r="M106" s="433"/>
      <c r="N106" s="130"/>
      <c r="O106" s="377" t="str">
        <f t="shared" si="9"/>
        <v/>
      </c>
      <c r="P106" s="433"/>
      <c r="Q106" s="106"/>
      <c r="R106" s="107"/>
      <c r="S106" s="462"/>
      <c r="T106" s="463"/>
      <c r="U106" s="463"/>
      <c r="V106" s="463"/>
      <c r="W106" s="463"/>
      <c r="X106" s="464"/>
    </row>
    <row r="107" spans="1:24" ht="13.5" customHeight="1" x14ac:dyDescent="0.15">
      <c r="A107" s="244"/>
      <c r="B107" s="125" t="s">
        <v>178</v>
      </c>
      <c r="C107" s="126"/>
      <c r="D107" s="127"/>
      <c r="E107" s="102"/>
      <c r="F107" s="128"/>
      <c r="G107" s="129"/>
      <c r="H107" s="130"/>
      <c r="I107" s="369" t="str">
        <f t="shared" si="7"/>
        <v/>
      </c>
      <c r="J107" s="421"/>
      <c r="K107" s="130"/>
      <c r="L107" s="377" t="str">
        <f t="shared" si="8"/>
        <v/>
      </c>
      <c r="M107" s="433"/>
      <c r="N107" s="130"/>
      <c r="O107" s="377" t="str">
        <f t="shared" si="9"/>
        <v/>
      </c>
      <c r="P107" s="433"/>
      <c r="Q107" s="106"/>
      <c r="R107" s="107"/>
      <c r="S107" s="462"/>
      <c r="T107" s="463"/>
      <c r="U107" s="463"/>
      <c r="V107" s="463"/>
      <c r="W107" s="463"/>
      <c r="X107" s="464"/>
    </row>
    <row r="108" spans="1:24" ht="13.5" customHeight="1" x14ac:dyDescent="0.15">
      <c r="A108" s="244"/>
      <c r="B108" s="125" t="s">
        <v>179</v>
      </c>
      <c r="C108" s="100"/>
      <c r="D108" s="108"/>
      <c r="E108" s="102"/>
      <c r="F108" s="103"/>
      <c r="G108" s="104"/>
      <c r="H108" s="105"/>
      <c r="I108" s="369" t="str">
        <f t="shared" si="7"/>
        <v/>
      </c>
      <c r="J108" s="421"/>
      <c r="K108" s="105"/>
      <c r="L108" s="377" t="str">
        <f t="shared" si="8"/>
        <v/>
      </c>
      <c r="M108" s="433"/>
      <c r="N108" s="105"/>
      <c r="O108" s="377" t="str">
        <f t="shared" si="9"/>
        <v/>
      </c>
      <c r="P108" s="433"/>
      <c r="Q108" s="106"/>
      <c r="R108" s="107"/>
      <c r="S108" s="462"/>
      <c r="T108" s="463"/>
      <c r="U108" s="463"/>
      <c r="V108" s="463"/>
      <c r="W108" s="463"/>
      <c r="X108" s="464"/>
    </row>
    <row r="109" spans="1:24" ht="13.5" customHeight="1" x14ac:dyDescent="0.15">
      <c r="A109" s="244"/>
      <c r="B109" s="125" t="s">
        <v>180</v>
      </c>
      <c r="C109" s="100"/>
      <c r="D109" s="108"/>
      <c r="E109" s="102"/>
      <c r="F109" s="103"/>
      <c r="G109" s="104"/>
      <c r="H109" s="105"/>
      <c r="I109" s="369" t="str">
        <f t="shared" si="7"/>
        <v/>
      </c>
      <c r="J109" s="421"/>
      <c r="K109" s="105"/>
      <c r="L109" s="377" t="str">
        <f t="shared" si="8"/>
        <v/>
      </c>
      <c r="M109" s="433"/>
      <c r="N109" s="105"/>
      <c r="O109" s="377" t="str">
        <f t="shared" si="9"/>
        <v/>
      </c>
      <c r="P109" s="433"/>
      <c r="Q109" s="106"/>
      <c r="R109" s="107"/>
      <c r="S109" s="462"/>
      <c r="T109" s="463"/>
      <c r="U109" s="463"/>
      <c r="V109" s="463"/>
      <c r="W109" s="463"/>
      <c r="X109" s="464"/>
    </row>
    <row r="110" spans="1:24" ht="13.5" customHeight="1" x14ac:dyDescent="0.15">
      <c r="A110" s="244"/>
      <c r="B110" s="125" t="s">
        <v>181</v>
      </c>
      <c r="C110" s="100"/>
      <c r="D110" s="108"/>
      <c r="E110" s="102"/>
      <c r="F110" s="103"/>
      <c r="G110" s="104"/>
      <c r="H110" s="105"/>
      <c r="I110" s="369" t="str">
        <f t="shared" si="7"/>
        <v/>
      </c>
      <c r="J110" s="421"/>
      <c r="K110" s="105"/>
      <c r="L110" s="377" t="str">
        <f t="shared" si="8"/>
        <v/>
      </c>
      <c r="M110" s="433"/>
      <c r="N110" s="105"/>
      <c r="O110" s="377" t="str">
        <f t="shared" si="9"/>
        <v/>
      </c>
      <c r="P110" s="433"/>
      <c r="Q110" s="106"/>
      <c r="R110" s="107"/>
      <c r="S110" s="462"/>
      <c r="T110" s="463"/>
      <c r="U110" s="463"/>
      <c r="V110" s="463"/>
      <c r="W110" s="463"/>
      <c r="X110" s="464"/>
    </row>
    <row r="111" spans="1:24" ht="13.5" customHeight="1" x14ac:dyDescent="0.15">
      <c r="A111" s="244"/>
      <c r="B111" s="125" t="s">
        <v>182</v>
      </c>
      <c r="C111" s="100"/>
      <c r="D111" s="108"/>
      <c r="E111" s="102"/>
      <c r="F111" s="103"/>
      <c r="G111" s="104"/>
      <c r="H111" s="105"/>
      <c r="I111" s="369" t="str">
        <f t="shared" si="7"/>
        <v/>
      </c>
      <c r="J111" s="421"/>
      <c r="K111" s="105"/>
      <c r="L111" s="377" t="str">
        <f t="shared" si="8"/>
        <v/>
      </c>
      <c r="M111" s="433"/>
      <c r="N111" s="105"/>
      <c r="O111" s="377" t="str">
        <f t="shared" si="9"/>
        <v/>
      </c>
      <c r="P111" s="433"/>
      <c r="Q111" s="106"/>
      <c r="R111" s="107"/>
      <c r="S111" s="462"/>
      <c r="T111" s="463"/>
      <c r="U111" s="463"/>
      <c r="V111" s="463"/>
      <c r="W111" s="463"/>
      <c r="X111" s="464"/>
    </row>
    <row r="112" spans="1:24" ht="13.5" customHeight="1" x14ac:dyDescent="0.15">
      <c r="A112" s="244"/>
      <c r="B112" s="125" t="s">
        <v>183</v>
      </c>
      <c r="C112" s="100"/>
      <c r="D112" s="108"/>
      <c r="E112" s="102"/>
      <c r="F112" s="103"/>
      <c r="G112" s="104"/>
      <c r="H112" s="105"/>
      <c r="I112" s="369" t="str">
        <f t="shared" si="7"/>
        <v/>
      </c>
      <c r="J112" s="421"/>
      <c r="K112" s="105"/>
      <c r="L112" s="377" t="str">
        <f t="shared" si="8"/>
        <v/>
      </c>
      <c r="M112" s="433"/>
      <c r="N112" s="105"/>
      <c r="O112" s="377" t="str">
        <f t="shared" si="9"/>
        <v/>
      </c>
      <c r="P112" s="433"/>
      <c r="Q112" s="106"/>
      <c r="R112" s="107"/>
      <c r="S112" s="462"/>
      <c r="T112" s="463"/>
      <c r="U112" s="463"/>
      <c r="V112" s="463"/>
      <c r="W112" s="463"/>
      <c r="X112" s="464"/>
    </row>
    <row r="113" spans="1:24" ht="13.5" customHeight="1" x14ac:dyDescent="0.15">
      <c r="A113" s="244"/>
      <c r="B113" s="125" t="s">
        <v>184</v>
      </c>
      <c r="C113" s="100"/>
      <c r="D113" s="108"/>
      <c r="E113" s="102"/>
      <c r="F113" s="103"/>
      <c r="G113" s="104"/>
      <c r="H113" s="105"/>
      <c r="I113" s="369" t="str">
        <f t="shared" si="7"/>
        <v/>
      </c>
      <c r="J113" s="421"/>
      <c r="K113" s="105"/>
      <c r="L113" s="377" t="str">
        <f t="shared" si="8"/>
        <v/>
      </c>
      <c r="M113" s="433"/>
      <c r="N113" s="105"/>
      <c r="O113" s="377" t="str">
        <f t="shared" si="9"/>
        <v/>
      </c>
      <c r="P113" s="433"/>
      <c r="Q113" s="106"/>
      <c r="R113" s="107"/>
      <c r="S113" s="462"/>
      <c r="T113" s="463"/>
      <c r="U113" s="463"/>
      <c r="V113" s="463"/>
      <c r="W113" s="463"/>
      <c r="X113" s="464"/>
    </row>
    <row r="114" spans="1:24" ht="13.5" customHeight="1" x14ac:dyDescent="0.15">
      <c r="A114" s="244"/>
      <c r="B114" s="125" t="s">
        <v>185</v>
      </c>
      <c r="C114" s="100"/>
      <c r="D114" s="108"/>
      <c r="E114" s="102"/>
      <c r="F114" s="103"/>
      <c r="G114" s="104"/>
      <c r="H114" s="105"/>
      <c r="I114" s="369" t="str">
        <f t="shared" si="7"/>
        <v/>
      </c>
      <c r="J114" s="421"/>
      <c r="K114" s="105"/>
      <c r="L114" s="377" t="str">
        <f t="shared" si="8"/>
        <v/>
      </c>
      <c r="M114" s="433"/>
      <c r="N114" s="105"/>
      <c r="O114" s="377" t="str">
        <f t="shared" si="9"/>
        <v/>
      </c>
      <c r="P114" s="433"/>
      <c r="Q114" s="106"/>
      <c r="R114" s="107"/>
      <c r="S114" s="462"/>
      <c r="T114" s="463"/>
      <c r="U114" s="463"/>
      <c r="V114" s="463"/>
      <c r="W114" s="463"/>
      <c r="X114" s="464"/>
    </row>
    <row r="115" spans="1:24" ht="13.5" customHeight="1" x14ac:dyDescent="0.15">
      <c r="A115" s="244"/>
      <c r="B115" s="125" t="s">
        <v>186</v>
      </c>
      <c r="C115" s="100"/>
      <c r="D115" s="108"/>
      <c r="E115" s="102"/>
      <c r="F115" s="103"/>
      <c r="G115" s="104"/>
      <c r="H115" s="105"/>
      <c r="I115" s="369" t="str">
        <f t="shared" si="7"/>
        <v/>
      </c>
      <c r="J115" s="421"/>
      <c r="K115" s="105"/>
      <c r="L115" s="377" t="str">
        <f t="shared" si="8"/>
        <v/>
      </c>
      <c r="M115" s="433"/>
      <c r="N115" s="105"/>
      <c r="O115" s="377" t="str">
        <f t="shared" si="9"/>
        <v/>
      </c>
      <c r="P115" s="433"/>
      <c r="Q115" s="106"/>
      <c r="R115" s="107"/>
      <c r="S115" s="462"/>
      <c r="T115" s="463"/>
      <c r="U115" s="463"/>
      <c r="V115" s="463"/>
      <c r="W115" s="463"/>
      <c r="X115" s="464"/>
    </row>
    <row r="116" spans="1:24" ht="13.5" customHeight="1" x14ac:dyDescent="0.15">
      <c r="A116" s="244"/>
      <c r="B116" s="125" t="s">
        <v>187</v>
      </c>
      <c r="C116" s="100"/>
      <c r="D116" s="108"/>
      <c r="E116" s="102"/>
      <c r="F116" s="103"/>
      <c r="G116" s="104"/>
      <c r="H116" s="105"/>
      <c r="I116" s="369" t="str">
        <f t="shared" si="7"/>
        <v/>
      </c>
      <c r="J116" s="421"/>
      <c r="K116" s="105"/>
      <c r="L116" s="377" t="str">
        <f t="shared" si="8"/>
        <v/>
      </c>
      <c r="M116" s="433"/>
      <c r="N116" s="105"/>
      <c r="O116" s="377" t="str">
        <f t="shared" si="9"/>
        <v/>
      </c>
      <c r="P116" s="433"/>
      <c r="Q116" s="106"/>
      <c r="R116" s="107"/>
      <c r="S116" s="462"/>
      <c r="T116" s="463"/>
      <c r="U116" s="463"/>
      <c r="V116" s="463"/>
      <c r="W116" s="463"/>
      <c r="X116" s="464"/>
    </row>
    <row r="117" spans="1:24" ht="13.5" customHeight="1" x14ac:dyDescent="0.15">
      <c r="A117" s="244"/>
      <c r="B117" s="125" t="s">
        <v>188</v>
      </c>
      <c r="C117" s="100"/>
      <c r="D117" s="108"/>
      <c r="E117" s="102"/>
      <c r="F117" s="103"/>
      <c r="G117" s="104"/>
      <c r="H117" s="105"/>
      <c r="I117" s="369" t="str">
        <f t="shared" si="7"/>
        <v/>
      </c>
      <c r="J117" s="421"/>
      <c r="K117" s="105"/>
      <c r="L117" s="377" t="str">
        <f t="shared" si="8"/>
        <v/>
      </c>
      <c r="M117" s="433"/>
      <c r="N117" s="105"/>
      <c r="O117" s="377" t="str">
        <f t="shared" si="9"/>
        <v/>
      </c>
      <c r="P117" s="433"/>
      <c r="Q117" s="106"/>
      <c r="R117" s="107"/>
      <c r="S117" s="462"/>
      <c r="T117" s="463"/>
      <c r="U117" s="463"/>
      <c r="V117" s="463"/>
      <c r="W117" s="463"/>
      <c r="X117" s="464"/>
    </row>
    <row r="118" spans="1:24" ht="13.5" customHeight="1" x14ac:dyDescent="0.15">
      <c r="A118" s="244"/>
      <c r="B118" s="125" t="s">
        <v>189</v>
      </c>
      <c r="C118" s="100"/>
      <c r="D118" s="108"/>
      <c r="E118" s="102"/>
      <c r="F118" s="103"/>
      <c r="G118" s="104"/>
      <c r="H118" s="105"/>
      <c r="I118" s="369" t="str">
        <f t="shared" si="7"/>
        <v/>
      </c>
      <c r="J118" s="421"/>
      <c r="K118" s="105"/>
      <c r="L118" s="377" t="str">
        <f t="shared" si="8"/>
        <v/>
      </c>
      <c r="M118" s="433"/>
      <c r="N118" s="105"/>
      <c r="O118" s="377" t="str">
        <f t="shared" si="9"/>
        <v/>
      </c>
      <c r="P118" s="433"/>
      <c r="Q118" s="106"/>
      <c r="R118" s="107"/>
      <c r="S118" s="462"/>
      <c r="T118" s="463"/>
      <c r="U118" s="463"/>
      <c r="V118" s="463"/>
      <c r="W118" s="463"/>
      <c r="X118" s="464"/>
    </row>
    <row r="119" spans="1:24" ht="13.5" customHeight="1" x14ac:dyDescent="0.15">
      <c r="A119" s="244"/>
      <c r="B119" s="125" t="s">
        <v>190</v>
      </c>
      <c r="C119" s="100"/>
      <c r="D119" s="108"/>
      <c r="E119" s="102"/>
      <c r="F119" s="103"/>
      <c r="G119" s="104"/>
      <c r="H119" s="105"/>
      <c r="I119" s="369" t="str">
        <f t="shared" si="7"/>
        <v/>
      </c>
      <c r="J119" s="421"/>
      <c r="K119" s="105"/>
      <c r="L119" s="377" t="str">
        <f t="shared" si="8"/>
        <v/>
      </c>
      <c r="M119" s="433"/>
      <c r="N119" s="105"/>
      <c r="O119" s="377" t="str">
        <f t="shared" si="9"/>
        <v/>
      </c>
      <c r="P119" s="433"/>
      <c r="Q119" s="106"/>
      <c r="R119" s="107"/>
      <c r="S119" s="462"/>
      <c r="T119" s="463"/>
      <c r="U119" s="463"/>
      <c r="V119" s="463"/>
      <c r="W119" s="463"/>
      <c r="X119" s="464"/>
    </row>
    <row r="120" spans="1:24" ht="13.5" customHeight="1" x14ac:dyDescent="0.15">
      <c r="A120" s="244"/>
      <c r="B120" s="125" t="s">
        <v>191</v>
      </c>
      <c r="C120" s="100"/>
      <c r="D120" s="108"/>
      <c r="E120" s="102"/>
      <c r="F120" s="103"/>
      <c r="G120" s="104"/>
      <c r="H120" s="105"/>
      <c r="I120" s="369" t="str">
        <f t="shared" si="7"/>
        <v/>
      </c>
      <c r="J120" s="421"/>
      <c r="K120" s="105"/>
      <c r="L120" s="377" t="str">
        <f t="shared" si="8"/>
        <v/>
      </c>
      <c r="M120" s="433"/>
      <c r="N120" s="105"/>
      <c r="O120" s="377" t="str">
        <f t="shared" si="9"/>
        <v/>
      </c>
      <c r="P120" s="433"/>
      <c r="Q120" s="106"/>
      <c r="R120" s="107"/>
      <c r="S120" s="462"/>
      <c r="T120" s="463"/>
      <c r="U120" s="463"/>
      <c r="V120" s="463"/>
      <c r="W120" s="463"/>
      <c r="X120" s="464"/>
    </row>
    <row r="121" spans="1:24" ht="13.5" customHeight="1" x14ac:dyDescent="0.15">
      <c r="A121" s="244"/>
      <c r="B121" s="125" t="s">
        <v>192</v>
      </c>
      <c r="C121" s="100"/>
      <c r="D121" s="108"/>
      <c r="E121" s="102"/>
      <c r="F121" s="103"/>
      <c r="G121" s="104"/>
      <c r="H121" s="105"/>
      <c r="I121" s="369" t="str">
        <f t="shared" si="7"/>
        <v/>
      </c>
      <c r="J121" s="421"/>
      <c r="K121" s="105"/>
      <c r="L121" s="377" t="str">
        <f t="shared" si="8"/>
        <v/>
      </c>
      <c r="M121" s="433"/>
      <c r="N121" s="105"/>
      <c r="O121" s="377" t="str">
        <f t="shared" si="9"/>
        <v/>
      </c>
      <c r="P121" s="433"/>
      <c r="Q121" s="106"/>
      <c r="R121" s="107"/>
      <c r="S121" s="462"/>
      <c r="T121" s="463"/>
      <c r="U121" s="463"/>
      <c r="V121" s="463"/>
      <c r="W121" s="463"/>
      <c r="X121" s="464"/>
    </row>
    <row r="122" spans="1:24" ht="13.5" customHeight="1" x14ac:dyDescent="0.15">
      <c r="A122" s="244"/>
      <c r="B122" s="125" t="s">
        <v>193</v>
      </c>
      <c r="C122" s="100"/>
      <c r="D122" s="108"/>
      <c r="E122" s="102"/>
      <c r="F122" s="103"/>
      <c r="G122" s="104"/>
      <c r="H122" s="105"/>
      <c r="I122" s="369" t="str">
        <f t="shared" si="7"/>
        <v/>
      </c>
      <c r="J122" s="421"/>
      <c r="K122" s="105"/>
      <c r="L122" s="377" t="str">
        <f t="shared" si="8"/>
        <v/>
      </c>
      <c r="M122" s="433"/>
      <c r="N122" s="105"/>
      <c r="O122" s="377" t="str">
        <f t="shared" si="9"/>
        <v/>
      </c>
      <c r="P122" s="433"/>
      <c r="Q122" s="106"/>
      <c r="R122" s="107"/>
      <c r="S122" s="462"/>
      <c r="T122" s="463"/>
      <c r="U122" s="463"/>
      <c r="V122" s="463"/>
      <c r="W122" s="463"/>
      <c r="X122" s="464"/>
    </row>
    <row r="123" spans="1:24" ht="13.5" customHeight="1" x14ac:dyDescent="0.15">
      <c r="A123" s="244"/>
      <c r="B123" s="125" t="s">
        <v>194</v>
      </c>
      <c r="C123" s="100"/>
      <c r="D123" s="108"/>
      <c r="E123" s="102"/>
      <c r="F123" s="103"/>
      <c r="G123" s="104"/>
      <c r="H123" s="105"/>
      <c r="I123" s="369" t="str">
        <f t="shared" si="7"/>
        <v/>
      </c>
      <c r="J123" s="421"/>
      <c r="K123" s="105"/>
      <c r="L123" s="377" t="str">
        <f t="shared" si="8"/>
        <v/>
      </c>
      <c r="M123" s="433"/>
      <c r="N123" s="105"/>
      <c r="O123" s="377" t="str">
        <f t="shared" si="9"/>
        <v/>
      </c>
      <c r="P123" s="433"/>
      <c r="Q123" s="106"/>
      <c r="R123" s="107"/>
      <c r="S123" s="462"/>
      <c r="T123" s="463"/>
      <c r="U123" s="463"/>
      <c r="V123" s="463"/>
      <c r="W123" s="463"/>
      <c r="X123" s="464"/>
    </row>
    <row r="124" spans="1:24" ht="13.5" customHeight="1" x14ac:dyDescent="0.15">
      <c r="A124" s="244"/>
      <c r="B124" s="125" t="s">
        <v>195</v>
      </c>
      <c r="C124" s="100"/>
      <c r="D124" s="108"/>
      <c r="E124" s="102"/>
      <c r="F124" s="103"/>
      <c r="G124" s="104"/>
      <c r="H124" s="105"/>
      <c r="I124" s="369" t="str">
        <f t="shared" si="7"/>
        <v/>
      </c>
      <c r="J124" s="421"/>
      <c r="K124" s="105"/>
      <c r="L124" s="377" t="str">
        <f t="shared" si="8"/>
        <v/>
      </c>
      <c r="M124" s="433"/>
      <c r="N124" s="105"/>
      <c r="O124" s="377" t="str">
        <f t="shared" si="9"/>
        <v/>
      </c>
      <c r="P124" s="433"/>
      <c r="Q124" s="106"/>
      <c r="R124" s="107"/>
      <c r="S124" s="462"/>
      <c r="T124" s="463"/>
      <c r="U124" s="463"/>
      <c r="V124" s="463"/>
      <c r="W124" s="463"/>
      <c r="X124" s="464"/>
    </row>
    <row r="125" spans="1:24" ht="13.5" customHeight="1" x14ac:dyDescent="0.15">
      <c r="A125" s="244"/>
      <c r="B125" s="125" t="s">
        <v>196</v>
      </c>
      <c r="C125" s="100"/>
      <c r="D125" s="108"/>
      <c r="E125" s="102"/>
      <c r="F125" s="103"/>
      <c r="G125" s="104"/>
      <c r="H125" s="105"/>
      <c r="I125" s="369" t="str">
        <f t="shared" si="7"/>
        <v/>
      </c>
      <c r="J125" s="421"/>
      <c r="K125" s="105"/>
      <c r="L125" s="377" t="str">
        <f t="shared" si="8"/>
        <v/>
      </c>
      <c r="M125" s="433"/>
      <c r="N125" s="105"/>
      <c r="O125" s="377" t="str">
        <f t="shared" si="9"/>
        <v/>
      </c>
      <c r="P125" s="433"/>
      <c r="Q125" s="106"/>
      <c r="R125" s="107"/>
      <c r="S125" s="462"/>
      <c r="T125" s="463"/>
      <c r="U125" s="463"/>
      <c r="V125" s="463"/>
      <c r="W125" s="463"/>
      <c r="X125" s="464"/>
    </row>
    <row r="126" spans="1:24" ht="13.5" customHeight="1" x14ac:dyDescent="0.15">
      <c r="A126" s="244"/>
      <c r="B126" s="125" t="s">
        <v>197</v>
      </c>
      <c r="C126" s="100"/>
      <c r="D126" s="108"/>
      <c r="E126" s="102"/>
      <c r="F126" s="103"/>
      <c r="G126" s="104"/>
      <c r="H126" s="105"/>
      <c r="I126" s="369" t="str">
        <f t="shared" si="7"/>
        <v/>
      </c>
      <c r="J126" s="421"/>
      <c r="K126" s="105"/>
      <c r="L126" s="377" t="str">
        <f t="shared" si="8"/>
        <v/>
      </c>
      <c r="M126" s="433"/>
      <c r="N126" s="105"/>
      <c r="O126" s="377" t="str">
        <f t="shared" si="9"/>
        <v/>
      </c>
      <c r="P126" s="433"/>
      <c r="Q126" s="106"/>
      <c r="R126" s="107"/>
      <c r="S126" s="462"/>
      <c r="T126" s="463"/>
      <c r="U126" s="463"/>
      <c r="V126" s="463"/>
      <c r="W126" s="463"/>
      <c r="X126" s="464"/>
    </row>
    <row r="127" spans="1:24" ht="13.5" customHeight="1" x14ac:dyDescent="0.15">
      <c r="A127" s="244"/>
      <c r="B127" s="125" t="s">
        <v>198</v>
      </c>
      <c r="C127" s="100"/>
      <c r="D127" s="108"/>
      <c r="E127" s="102"/>
      <c r="F127" s="103"/>
      <c r="G127" s="104"/>
      <c r="H127" s="105"/>
      <c r="I127" s="369" t="str">
        <f t="shared" si="7"/>
        <v/>
      </c>
      <c r="J127" s="421"/>
      <c r="K127" s="105"/>
      <c r="L127" s="377" t="str">
        <f t="shared" si="8"/>
        <v/>
      </c>
      <c r="M127" s="433"/>
      <c r="N127" s="105"/>
      <c r="O127" s="377" t="str">
        <f t="shared" si="9"/>
        <v/>
      </c>
      <c r="P127" s="433"/>
      <c r="Q127" s="106"/>
      <c r="R127" s="107"/>
      <c r="S127" s="462"/>
      <c r="T127" s="463"/>
      <c r="U127" s="463"/>
      <c r="V127" s="463"/>
      <c r="W127" s="463"/>
      <c r="X127" s="464"/>
    </row>
    <row r="128" spans="1:24" ht="13.5" customHeight="1" x14ac:dyDescent="0.15">
      <c r="A128" s="244"/>
      <c r="B128" s="125" t="s">
        <v>199</v>
      </c>
      <c r="C128" s="100"/>
      <c r="D128" s="108"/>
      <c r="E128" s="102"/>
      <c r="F128" s="103"/>
      <c r="G128" s="104"/>
      <c r="H128" s="105"/>
      <c r="I128" s="369" t="str">
        <f t="shared" si="7"/>
        <v/>
      </c>
      <c r="J128" s="421"/>
      <c r="K128" s="105"/>
      <c r="L128" s="377" t="str">
        <f t="shared" si="8"/>
        <v/>
      </c>
      <c r="M128" s="433"/>
      <c r="N128" s="105"/>
      <c r="O128" s="377" t="str">
        <f t="shared" si="9"/>
        <v/>
      </c>
      <c r="P128" s="433"/>
      <c r="Q128" s="106"/>
      <c r="R128" s="107"/>
      <c r="S128" s="462"/>
      <c r="T128" s="463"/>
      <c r="U128" s="463"/>
      <c r="V128" s="463"/>
      <c r="W128" s="463"/>
      <c r="X128" s="464"/>
    </row>
    <row r="129" spans="1:24" ht="13.5" customHeight="1" x14ac:dyDescent="0.15">
      <c r="A129" s="244"/>
      <c r="B129" s="125" t="s">
        <v>200</v>
      </c>
      <c r="C129" s="100"/>
      <c r="D129" s="108"/>
      <c r="E129" s="102"/>
      <c r="F129" s="103"/>
      <c r="G129" s="104"/>
      <c r="H129" s="105"/>
      <c r="I129" s="369" t="str">
        <f t="shared" si="7"/>
        <v/>
      </c>
      <c r="J129" s="421"/>
      <c r="K129" s="105"/>
      <c r="L129" s="377" t="str">
        <f t="shared" si="8"/>
        <v/>
      </c>
      <c r="M129" s="433"/>
      <c r="N129" s="105"/>
      <c r="O129" s="377" t="str">
        <f t="shared" si="9"/>
        <v/>
      </c>
      <c r="P129" s="433"/>
      <c r="Q129" s="106"/>
      <c r="R129" s="107"/>
      <c r="S129" s="462"/>
      <c r="T129" s="463"/>
      <c r="U129" s="463"/>
      <c r="V129" s="463"/>
      <c r="W129" s="463"/>
      <c r="X129" s="464"/>
    </row>
    <row r="130" spans="1:24" ht="13.5" customHeight="1" x14ac:dyDescent="0.15">
      <c r="A130" s="244"/>
      <c r="B130" s="125" t="s">
        <v>201</v>
      </c>
      <c r="C130" s="100"/>
      <c r="D130" s="108"/>
      <c r="E130" s="102"/>
      <c r="F130" s="103"/>
      <c r="G130" s="104"/>
      <c r="H130" s="105"/>
      <c r="I130" s="369" t="str">
        <f t="shared" si="7"/>
        <v/>
      </c>
      <c r="J130" s="421"/>
      <c r="K130" s="105"/>
      <c r="L130" s="377" t="str">
        <f t="shared" si="8"/>
        <v/>
      </c>
      <c r="M130" s="433"/>
      <c r="N130" s="105"/>
      <c r="O130" s="377" t="str">
        <f t="shared" si="9"/>
        <v/>
      </c>
      <c r="P130" s="433"/>
      <c r="Q130" s="106"/>
      <c r="R130" s="107"/>
      <c r="S130" s="462"/>
      <c r="T130" s="463"/>
      <c r="U130" s="463"/>
      <c r="V130" s="463"/>
      <c r="W130" s="463"/>
      <c r="X130" s="464"/>
    </row>
    <row r="131" spans="1:24" ht="13.5" customHeight="1" x14ac:dyDescent="0.15">
      <c r="A131" s="244"/>
      <c r="B131" s="125" t="s">
        <v>202</v>
      </c>
      <c r="C131" s="100"/>
      <c r="D131" s="108"/>
      <c r="E131" s="102"/>
      <c r="F131" s="103"/>
      <c r="G131" s="104"/>
      <c r="H131" s="105"/>
      <c r="I131" s="369" t="str">
        <f t="shared" si="7"/>
        <v/>
      </c>
      <c r="J131" s="421"/>
      <c r="K131" s="105"/>
      <c r="L131" s="377" t="str">
        <f t="shared" si="8"/>
        <v/>
      </c>
      <c r="M131" s="433"/>
      <c r="N131" s="105"/>
      <c r="O131" s="377" t="str">
        <f t="shared" si="9"/>
        <v/>
      </c>
      <c r="P131" s="433"/>
      <c r="Q131" s="106"/>
      <c r="R131" s="107"/>
      <c r="S131" s="462"/>
      <c r="T131" s="463"/>
      <c r="U131" s="463"/>
      <c r="V131" s="463"/>
      <c r="W131" s="463"/>
      <c r="X131" s="464"/>
    </row>
    <row r="132" spans="1:24" ht="13.5" customHeight="1" x14ac:dyDescent="0.15">
      <c r="A132" s="244"/>
      <c r="B132" s="125" t="s">
        <v>203</v>
      </c>
      <c r="C132" s="100"/>
      <c r="D132" s="108"/>
      <c r="E132" s="102"/>
      <c r="F132" s="103"/>
      <c r="G132" s="104"/>
      <c r="H132" s="105"/>
      <c r="I132" s="369" t="str">
        <f t="shared" si="7"/>
        <v/>
      </c>
      <c r="J132" s="421"/>
      <c r="K132" s="105"/>
      <c r="L132" s="377" t="str">
        <f t="shared" si="8"/>
        <v/>
      </c>
      <c r="M132" s="433"/>
      <c r="N132" s="105"/>
      <c r="O132" s="377" t="str">
        <f t="shared" si="9"/>
        <v/>
      </c>
      <c r="P132" s="433"/>
      <c r="Q132" s="106"/>
      <c r="R132" s="107"/>
      <c r="S132" s="462"/>
      <c r="T132" s="463"/>
      <c r="U132" s="463"/>
      <c r="V132" s="463"/>
      <c r="W132" s="463"/>
      <c r="X132" s="464"/>
    </row>
    <row r="133" spans="1:24" ht="13.5" customHeight="1" x14ac:dyDescent="0.15">
      <c r="A133" s="244"/>
      <c r="B133" s="125" t="s">
        <v>204</v>
      </c>
      <c r="C133" s="100"/>
      <c r="D133" s="108"/>
      <c r="E133" s="102"/>
      <c r="F133" s="103"/>
      <c r="G133" s="104"/>
      <c r="H133" s="105"/>
      <c r="I133" s="369" t="str">
        <f t="shared" si="7"/>
        <v/>
      </c>
      <c r="J133" s="421"/>
      <c r="K133" s="105"/>
      <c r="L133" s="377" t="str">
        <f t="shared" si="8"/>
        <v/>
      </c>
      <c r="M133" s="433"/>
      <c r="N133" s="105"/>
      <c r="O133" s="377" t="str">
        <f t="shared" si="9"/>
        <v/>
      </c>
      <c r="P133" s="433"/>
      <c r="Q133" s="106"/>
      <c r="R133" s="107"/>
      <c r="S133" s="462"/>
      <c r="T133" s="463"/>
      <c r="U133" s="463"/>
      <c r="V133" s="463"/>
      <c r="W133" s="463"/>
      <c r="X133" s="464"/>
    </row>
    <row r="134" spans="1:24" ht="13.5" customHeight="1" x14ac:dyDescent="0.15">
      <c r="A134" s="244"/>
      <c r="B134" s="125" t="s">
        <v>205</v>
      </c>
      <c r="C134" s="100"/>
      <c r="D134" s="108"/>
      <c r="E134" s="102"/>
      <c r="F134" s="103"/>
      <c r="G134" s="104"/>
      <c r="H134" s="105"/>
      <c r="I134" s="369" t="str">
        <f t="shared" si="7"/>
        <v/>
      </c>
      <c r="J134" s="421"/>
      <c r="K134" s="105"/>
      <c r="L134" s="377" t="str">
        <f t="shared" si="8"/>
        <v/>
      </c>
      <c r="M134" s="433"/>
      <c r="N134" s="105"/>
      <c r="O134" s="377" t="str">
        <f t="shared" si="9"/>
        <v/>
      </c>
      <c r="P134" s="433"/>
      <c r="Q134" s="106"/>
      <c r="R134" s="107"/>
      <c r="S134" s="462"/>
      <c r="T134" s="463"/>
      <c r="U134" s="463"/>
      <c r="V134" s="463"/>
      <c r="W134" s="463"/>
      <c r="X134" s="464"/>
    </row>
    <row r="135" spans="1:24" ht="14.25" customHeight="1" thickBot="1" x14ac:dyDescent="0.2">
      <c r="A135" s="244"/>
      <c r="B135" s="146"/>
      <c r="C135" s="147" t="s">
        <v>206</v>
      </c>
      <c r="D135" s="148" t="s">
        <v>206</v>
      </c>
      <c r="E135" s="149" t="s">
        <v>207</v>
      </c>
      <c r="F135" s="150"/>
      <c r="G135" s="151"/>
      <c r="H135" s="152">
        <f t="shared" ref="H135:O135" si="10">SUM(H96:H134)</f>
        <v>0</v>
      </c>
      <c r="I135" s="378">
        <f t="shared" si="10"/>
        <v>0</v>
      </c>
      <c r="J135" s="426"/>
      <c r="K135" s="152">
        <f t="shared" si="10"/>
        <v>0</v>
      </c>
      <c r="L135" s="378">
        <f t="shared" si="10"/>
        <v>0</v>
      </c>
      <c r="M135" s="426"/>
      <c r="N135" s="152">
        <f t="shared" si="10"/>
        <v>0</v>
      </c>
      <c r="O135" s="378">
        <f t="shared" si="10"/>
        <v>0</v>
      </c>
      <c r="P135" s="426"/>
      <c r="Q135" s="153"/>
      <c r="R135" s="107"/>
      <c r="S135" s="465"/>
      <c r="T135" s="466"/>
      <c r="U135" s="466"/>
      <c r="V135" s="466"/>
      <c r="W135" s="466"/>
      <c r="X135" s="467"/>
    </row>
    <row r="136" spans="1:24" ht="18" customHeight="1" thickBot="1" x14ac:dyDescent="0.2">
      <c r="A136" s="244"/>
      <c r="B136" s="154"/>
      <c r="C136" s="154"/>
      <c r="D136" s="155"/>
      <c r="E136" s="156"/>
      <c r="F136" s="156"/>
      <c r="G136" s="157"/>
      <c r="H136" s="158" t="s">
        <v>208</v>
      </c>
      <c r="I136" s="382"/>
      <c r="J136" s="427"/>
      <c r="K136" s="158" t="s">
        <v>208</v>
      </c>
      <c r="L136" s="382"/>
      <c r="M136" s="427"/>
      <c r="N136" s="158" t="s">
        <v>208</v>
      </c>
      <c r="O136" s="382"/>
      <c r="P136" s="427"/>
      <c r="Q136" s="155"/>
      <c r="R136" s="159"/>
      <c r="S136" s="315"/>
      <c r="T136" s="315"/>
      <c r="U136" s="315"/>
      <c r="V136" s="315"/>
      <c r="W136" s="315"/>
      <c r="X136" s="315"/>
    </row>
    <row r="137" spans="1:24" ht="18" customHeight="1" thickBot="1" x14ac:dyDescent="0.2">
      <c r="A137" s="244"/>
      <c r="B137" s="160"/>
      <c r="C137" s="160"/>
      <c r="D137" s="160"/>
      <c r="E137" s="160"/>
      <c r="F137" s="160"/>
      <c r="G137" s="160"/>
      <c r="H137" s="161" t="s">
        <v>209</v>
      </c>
      <c r="I137" s="383"/>
      <c r="J137" s="428"/>
      <c r="K137" s="161" t="s">
        <v>209</v>
      </c>
      <c r="L137" s="383"/>
      <c r="M137" s="428"/>
      <c r="N137" s="161" t="s">
        <v>209</v>
      </c>
      <c r="O137" s="383"/>
      <c r="P137" s="428"/>
      <c r="Q137" s="160"/>
      <c r="R137" s="162"/>
      <c r="S137" s="76"/>
      <c r="T137" s="78"/>
      <c r="U137" s="77" t="s">
        <v>337</v>
      </c>
      <c r="V137" s="78"/>
      <c r="W137" s="78"/>
      <c r="X137" s="79"/>
    </row>
    <row r="138" spans="1:24" ht="17.25" customHeight="1" thickBot="1" x14ac:dyDescent="0.2">
      <c r="A138" s="244"/>
      <c r="B138" s="35"/>
      <c r="C138" s="154"/>
      <c r="D138" s="160"/>
      <c r="E138" s="163"/>
      <c r="F138" s="160"/>
      <c r="G138" s="164"/>
      <c r="H138" s="165" t="s">
        <v>269</v>
      </c>
      <c r="I138" s="398"/>
      <c r="J138" s="429"/>
      <c r="K138" s="165" t="s">
        <v>269</v>
      </c>
      <c r="L138" s="398"/>
      <c r="M138" s="429"/>
      <c r="N138" s="165" t="s">
        <v>269</v>
      </c>
      <c r="O138" s="404"/>
      <c r="P138" s="434"/>
      <c r="Q138" s="160"/>
      <c r="R138" s="162"/>
      <c r="S138" s="87"/>
      <c r="T138" s="89"/>
      <c r="U138" s="88" t="s">
        <v>338</v>
      </c>
      <c r="V138" s="89"/>
      <c r="W138" s="89"/>
      <c r="X138" s="90"/>
    </row>
    <row r="139" spans="1:24" ht="17.25" customHeight="1" x14ac:dyDescent="0.15">
      <c r="A139" s="244"/>
      <c r="B139" s="66"/>
      <c r="C139" s="166"/>
      <c r="D139" s="160"/>
      <c r="E139" s="167"/>
      <c r="F139" s="168"/>
      <c r="G139" s="169"/>
      <c r="H139" s="171"/>
      <c r="I139" s="170"/>
      <c r="J139" s="170"/>
      <c r="L139" s="171"/>
      <c r="M139" s="170"/>
      <c r="N139" s="172"/>
      <c r="O139" s="170"/>
      <c r="P139" s="170"/>
      <c r="Q139" s="173"/>
      <c r="R139" s="162"/>
      <c r="S139" s="451"/>
      <c r="T139" s="452"/>
      <c r="U139" s="452"/>
      <c r="V139" s="452"/>
      <c r="W139" s="452"/>
      <c r="X139" s="453"/>
    </row>
    <row r="140" spans="1:24" ht="17.25" customHeight="1" thickBot="1" x14ac:dyDescent="0.2">
      <c r="A140" s="244"/>
      <c r="B140" s="174"/>
      <c r="C140" s="65"/>
      <c r="D140" s="164"/>
      <c r="E140" s="167"/>
      <c r="F140" s="168"/>
      <c r="G140" s="169"/>
      <c r="H140" s="176" t="s">
        <v>361</v>
      </c>
      <c r="I140" s="401"/>
      <c r="J140" s="168"/>
      <c r="L140" s="402"/>
      <c r="M140" s="175"/>
      <c r="N140" s="176"/>
      <c r="O140" s="403"/>
      <c r="P140" s="177"/>
      <c r="Q140" s="160"/>
      <c r="R140" s="162"/>
      <c r="S140" s="454"/>
      <c r="T140" s="455"/>
      <c r="U140" s="455"/>
      <c r="V140" s="455"/>
      <c r="W140" s="455"/>
      <c r="X140" s="456"/>
    </row>
    <row r="141" spans="1:24" ht="17.25" customHeight="1" thickBot="1" x14ac:dyDescent="0.2">
      <c r="A141" s="244"/>
      <c r="B141" s="174"/>
      <c r="C141" s="65"/>
      <c r="D141" s="171" t="s">
        <v>270</v>
      </c>
      <c r="E141" s="160"/>
      <c r="F141" s="168"/>
      <c r="G141" s="312"/>
      <c r="H141" s="181" t="s">
        <v>436</v>
      </c>
      <c r="I141" s="384"/>
      <c r="J141" s="405"/>
      <c r="K141" s="181" t="s">
        <v>437</v>
      </c>
      <c r="L141" s="384"/>
      <c r="M141" s="405"/>
      <c r="N141" s="181" t="s">
        <v>437</v>
      </c>
      <c r="O141" s="384"/>
      <c r="P141" s="405"/>
      <c r="Q141" s="160"/>
      <c r="R141" s="162"/>
      <c r="S141" s="454"/>
      <c r="T141" s="455"/>
      <c r="U141" s="455"/>
      <c r="V141" s="455"/>
      <c r="W141" s="455"/>
      <c r="X141" s="456"/>
    </row>
    <row r="142" spans="1:24" ht="17.25" customHeight="1" x14ac:dyDescent="0.15">
      <c r="A142" s="244"/>
      <c r="B142" s="179"/>
      <c r="C142" s="180" t="s">
        <v>210</v>
      </c>
      <c r="D142" s="171" t="s">
        <v>271</v>
      </c>
      <c r="E142" s="160"/>
      <c r="F142" s="168"/>
      <c r="G142" s="169"/>
      <c r="H142" s="181" t="s">
        <v>211</v>
      </c>
      <c r="I142" s="384">
        <f>$E$156*$E$157</f>
        <v>0</v>
      </c>
      <c r="J142" s="405"/>
      <c r="K142" s="181" t="s">
        <v>212</v>
      </c>
      <c r="L142" s="384">
        <f>$E$156*$E$157</f>
        <v>0</v>
      </c>
      <c r="M142" s="405"/>
      <c r="N142" s="181" t="s">
        <v>212</v>
      </c>
      <c r="O142" s="384">
        <f>$E$156*$E$157</f>
        <v>0</v>
      </c>
      <c r="P142" s="405"/>
      <c r="Q142" s="160"/>
      <c r="R142" s="182"/>
      <c r="S142" s="454"/>
      <c r="T142" s="455"/>
      <c r="U142" s="455"/>
      <c r="V142" s="455"/>
      <c r="W142" s="455"/>
      <c r="X142" s="456"/>
    </row>
    <row r="143" spans="1:24" ht="17.25" customHeight="1" x14ac:dyDescent="0.15">
      <c r="A143" s="244"/>
      <c r="B143" s="179"/>
      <c r="C143" s="180" t="s">
        <v>213</v>
      </c>
      <c r="D143" s="171" t="s">
        <v>448</v>
      </c>
      <c r="E143" s="160"/>
      <c r="F143" s="168"/>
      <c r="G143" s="169"/>
      <c r="H143" s="183" t="s">
        <v>214</v>
      </c>
      <c r="I143" s="390"/>
      <c r="J143" s="406"/>
      <c r="K143" s="183" t="s">
        <v>215</v>
      </c>
      <c r="L143" s="390"/>
      <c r="M143" s="406"/>
      <c r="N143" s="183" t="s">
        <v>215</v>
      </c>
      <c r="O143" s="390"/>
      <c r="P143" s="406"/>
      <c r="Q143" s="160"/>
      <c r="R143" s="162"/>
      <c r="S143" s="454"/>
      <c r="T143" s="455"/>
      <c r="U143" s="455"/>
      <c r="V143" s="455"/>
      <c r="W143" s="455"/>
      <c r="X143" s="456"/>
    </row>
    <row r="144" spans="1:24" ht="17.25" customHeight="1" x14ac:dyDescent="0.15">
      <c r="A144" s="244"/>
      <c r="B144" s="179"/>
      <c r="C144" s="184" t="s">
        <v>216</v>
      </c>
      <c r="D144" s="160"/>
      <c r="E144" s="160"/>
      <c r="F144" s="168"/>
      <c r="G144" s="169"/>
      <c r="H144" s="183" t="s">
        <v>217</v>
      </c>
      <c r="I144" s="391" t="str">
        <f>IF($I$138="","",I138*I143)</f>
        <v/>
      </c>
      <c r="J144" s="407"/>
      <c r="K144" s="183" t="s">
        <v>217</v>
      </c>
      <c r="L144" s="391" t="str">
        <f>IF($L$138="","",L138*L143)</f>
        <v/>
      </c>
      <c r="M144" s="407"/>
      <c r="N144" s="183" t="s">
        <v>217</v>
      </c>
      <c r="O144" s="391" t="str">
        <f>IF($O$138="","",$O$138*$O$143)</f>
        <v/>
      </c>
      <c r="P144" s="407"/>
      <c r="Q144" s="160"/>
      <c r="R144" s="162"/>
      <c r="S144" s="454"/>
      <c r="T144" s="455"/>
      <c r="U144" s="455"/>
      <c r="V144" s="455"/>
      <c r="W144" s="455"/>
      <c r="X144" s="456"/>
    </row>
    <row r="145" spans="1:24" ht="17.25" customHeight="1" thickBot="1" x14ac:dyDescent="0.2">
      <c r="A145" s="246"/>
      <c r="B145" s="179"/>
      <c r="C145" s="184" t="s">
        <v>218</v>
      </c>
      <c r="G145" s="169"/>
      <c r="H145" s="185" t="s">
        <v>219</v>
      </c>
      <c r="I145" s="392"/>
      <c r="J145" s="408"/>
      <c r="K145" s="185" t="s">
        <v>219</v>
      </c>
      <c r="L145" s="392"/>
      <c r="M145" s="408"/>
      <c r="N145" s="185" t="s">
        <v>219</v>
      </c>
      <c r="O145" s="392"/>
      <c r="P145" s="408"/>
      <c r="Q145" s="160"/>
      <c r="R145" s="162"/>
      <c r="S145" s="454"/>
      <c r="T145" s="455"/>
      <c r="U145" s="455"/>
      <c r="V145" s="455"/>
      <c r="W145" s="455"/>
      <c r="X145" s="456"/>
    </row>
    <row r="146" spans="1:24" ht="17.25" customHeight="1" x14ac:dyDescent="0.15">
      <c r="A146" s="246"/>
      <c r="B146" s="179"/>
      <c r="C146" s="184" t="s">
        <v>220</v>
      </c>
      <c r="G146" s="169"/>
      <c r="H146" s="186" t="s">
        <v>275</v>
      </c>
      <c r="I146" s="379" t="e">
        <f>(I$94/H$94*I$136/1000+IF(I$137=0,0,I$135/H$135*I$137/1000))*I$143/I142/I145*$E$157</f>
        <v>#DIV/0!</v>
      </c>
      <c r="J146" s="409"/>
      <c r="K146" s="186" t="s">
        <v>221</v>
      </c>
      <c r="L146" s="379" t="e">
        <f>(L$94/K$94*L$136/1000+IF(L$137=0,0,L$135/K$135*L$137/1000))*L$143/L142/L145*$E$157</f>
        <v>#DIV/0!</v>
      </c>
      <c r="M146" s="409"/>
      <c r="N146" s="186" t="s">
        <v>221</v>
      </c>
      <c r="O146" s="379" t="e">
        <f>(O$94/N$94*O$136/1000+IF(O$137=0,0,O$135/N$135*O$137/1000))*O$143/O142/O145*$E$157</f>
        <v>#DIV/0!</v>
      </c>
      <c r="P146" s="409"/>
      <c r="Q146" s="160"/>
      <c r="R146" s="162"/>
      <c r="S146" s="454"/>
      <c r="T146" s="455"/>
      <c r="U146" s="455"/>
      <c r="V146" s="455"/>
      <c r="W146" s="455"/>
      <c r="X146" s="456"/>
    </row>
    <row r="147" spans="1:24" ht="17.25" customHeight="1" x14ac:dyDescent="0.15">
      <c r="A147" s="246"/>
      <c r="B147" s="179"/>
      <c r="C147" s="184" t="s">
        <v>222</v>
      </c>
      <c r="G147" s="169"/>
      <c r="H147" s="187" t="s">
        <v>277</v>
      </c>
      <c r="I147" s="380" t="str">
        <f>IF($I$136="","",$I$184)</f>
        <v/>
      </c>
      <c r="J147" s="410"/>
      <c r="K147" s="187" t="s">
        <v>223</v>
      </c>
      <c r="L147" s="380" t="str">
        <f>IF($L$136="","",$I$184)</f>
        <v/>
      </c>
      <c r="M147" s="410"/>
      <c r="N147" s="187" t="s">
        <v>223</v>
      </c>
      <c r="O147" s="380" t="str">
        <f>IF($O$136="","",$I$184)</f>
        <v/>
      </c>
      <c r="P147" s="410"/>
      <c r="Q147" s="48"/>
      <c r="R147" s="162"/>
      <c r="S147" s="454"/>
      <c r="T147" s="455"/>
      <c r="U147" s="455"/>
      <c r="V147" s="455"/>
      <c r="W147" s="455"/>
      <c r="X147" s="456"/>
    </row>
    <row r="148" spans="1:24" ht="17.25" customHeight="1" thickBot="1" x14ac:dyDescent="0.2">
      <c r="A148" s="246"/>
      <c r="B148" s="179"/>
      <c r="C148" s="188" t="s">
        <v>224</v>
      </c>
      <c r="D148" s="163" t="s">
        <v>330</v>
      </c>
      <c r="E148" s="310"/>
      <c r="F148" s="311"/>
      <c r="G148" s="169"/>
      <c r="H148" s="189" t="s">
        <v>279</v>
      </c>
      <c r="I148" s="381"/>
      <c r="J148" s="411"/>
      <c r="K148" s="189" t="s">
        <v>225</v>
      </c>
      <c r="L148" s="381"/>
      <c r="M148" s="411"/>
      <c r="N148" s="189" t="s">
        <v>225</v>
      </c>
      <c r="O148" s="381"/>
      <c r="P148" s="411"/>
      <c r="Q148" s="160"/>
      <c r="R148" s="162"/>
      <c r="S148" s="454"/>
      <c r="T148" s="455"/>
      <c r="U148" s="455"/>
      <c r="V148" s="455"/>
      <c r="W148" s="455"/>
      <c r="X148" s="456"/>
    </row>
    <row r="149" spans="1:24" ht="17.25" customHeight="1" thickTop="1" thickBot="1" x14ac:dyDescent="0.2">
      <c r="A149" s="246"/>
      <c r="B149" s="179">
        <v>2</v>
      </c>
      <c r="C149" s="188" t="s">
        <v>226</v>
      </c>
      <c r="D149" s="307" t="s">
        <v>272</v>
      </c>
      <c r="E149" s="323"/>
      <c r="F149" s="324"/>
      <c r="G149" s="169"/>
      <c r="H149" s="191" t="s">
        <v>227</v>
      </c>
      <c r="I149" s="388" t="e">
        <f>SUM(I146:I148)</f>
        <v>#DIV/0!</v>
      </c>
      <c r="J149" s="412"/>
      <c r="K149" s="191" t="s">
        <v>227</v>
      </c>
      <c r="L149" s="388" t="e">
        <f>SUM(L146:L148)</f>
        <v>#DIV/0!</v>
      </c>
      <c r="M149" s="412"/>
      <c r="N149" s="191" t="s">
        <v>227</v>
      </c>
      <c r="O149" s="388" t="e">
        <f>SUM(O146:O148)</f>
        <v>#DIV/0!</v>
      </c>
      <c r="P149" s="412"/>
      <c r="Q149" s="160"/>
      <c r="R149" s="48"/>
      <c r="S149" s="454"/>
      <c r="T149" s="455"/>
      <c r="U149" s="455"/>
      <c r="V149" s="455"/>
      <c r="W149" s="455"/>
      <c r="X149" s="456"/>
    </row>
    <row r="150" spans="1:24" ht="17.25" customHeight="1" thickBot="1" x14ac:dyDescent="0.2">
      <c r="A150" s="246"/>
      <c r="B150" s="179">
        <v>3</v>
      </c>
      <c r="C150" s="184" t="s">
        <v>228</v>
      </c>
      <c r="D150" s="308" t="s">
        <v>0</v>
      </c>
      <c r="E150" s="325"/>
      <c r="F150" s="326"/>
      <c r="G150" s="169"/>
      <c r="H150" s="176" t="s">
        <v>282</v>
      </c>
      <c r="I150" s="178"/>
      <c r="J150" s="178"/>
      <c r="K150" s="168"/>
      <c r="L150" s="178"/>
      <c r="M150" s="178"/>
      <c r="N150" s="168"/>
      <c r="O150" s="178"/>
      <c r="P150" s="178"/>
      <c r="Q150" s="167"/>
      <c r="R150" s="192"/>
      <c r="S150" s="454"/>
      <c r="T150" s="455"/>
      <c r="U150" s="455"/>
      <c r="V150" s="455"/>
      <c r="W150" s="455"/>
      <c r="X150" s="456"/>
    </row>
    <row r="151" spans="1:24" ht="17.25" customHeight="1" thickBot="1" x14ac:dyDescent="0.2">
      <c r="A151" s="246"/>
      <c r="B151" s="179">
        <v>4</v>
      </c>
      <c r="C151" s="184" t="s">
        <v>229</v>
      </c>
      <c r="D151" s="308" t="s">
        <v>1</v>
      </c>
      <c r="E151" s="325"/>
      <c r="F151" s="326"/>
      <c r="G151" s="169"/>
      <c r="H151" s="193" t="s">
        <v>284</v>
      </c>
      <c r="I151" s="389" t="str">
        <f>IF($I$136="","",I$149/$E$157)</f>
        <v/>
      </c>
      <c r="J151" s="413"/>
      <c r="K151" s="193" t="s">
        <v>230</v>
      </c>
      <c r="L151" s="389" t="str">
        <f>IF($L$136="","",L$149/$E$157)</f>
        <v/>
      </c>
      <c r="M151" s="413"/>
      <c r="N151" s="193" t="s">
        <v>230</v>
      </c>
      <c r="O151" s="389" t="str">
        <f>IF(O$136="","",O$149/$E$157)</f>
        <v/>
      </c>
      <c r="P151" s="413"/>
      <c r="Q151" s="160"/>
      <c r="R151" s="192"/>
      <c r="S151" s="454"/>
      <c r="T151" s="455"/>
      <c r="U151" s="455"/>
      <c r="V151" s="455"/>
      <c r="W151" s="455"/>
      <c r="X151" s="456"/>
    </row>
    <row r="152" spans="1:24" ht="17.25" customHeight="1" thickBot="1" x14ac:dyDescent="0.2">
      <c r="A152" s="246"/>
      <c r="B152" s="179">
        <v>5</v>
      </c>
      <c r="C152" s="160"/>
      <c r="D152" s="308" t="s">
        <v>273</v>
      </c>
      <c r="E152" s="325"/>
      <c r="F152" s="326"/>
      <c r="G152" s="169"/>
      <c r="H152" s="176" t="s">
        <v>285</v>
      </c>
      <c r="I152" s="195"/>
      <c r="J152" s="195"/>
      <c r="K152" s="194"/>
      <c r="L152" s="195"/>
      <c r="M152" s="195"/>
      <c r="N152" s="194"/>
      <c r="O152" s="195"/>
      <c r="P152" s="195"/>
      <c r="Q152" s="160"/>
      <c r="R152" s="160"/>
      <c r="S152" s="454"/>
      <c r="T152" s="455"/>
      <c r="U152" s="455"/>
      <c r="V152" s="455"/>
      <c r="W152" s="455"/>
      <c r="X152" s="456"/>
    </row>
    <row r="153" spans="1:24" ht="17.25" customHeight="1" x14ac:dyDescent="0.15">
      <c r="A153" s="246"/>
      <c r="B153" s="179">
        <v>6</v>
      </c>
      <c r="C153" s="48"/>
      <c r="D153" s="308" t="s">
        <v>274</v>
      </c>
      <c r="E153" s="325"/>
      <c r="F153" s="326"/>
      <c r="G153" s="169"/>
      <c r="H153" s="196" t="s">
        <v>286</v>
      </c>
      <c r="I153" s="384" t="str">
        <f>IF(I$136="","",I$146/I$142/I$138*1000)</f>
        <v/>
      </c>
      <c r="J153" s="405"/>
      <c r="K153" s="196" t="s">
        <v>320</v>
      </c>
      <c r="L153" s="384" t="str">
        <f>IF(L$136="","",$L146/L$142/L$138*1000)</f>
        <v/>
      </c>
      <c r="M153" s="405"/>
      <c r="N153" s="196" t="s">
        <v>320</v>
      </c>
      <c r="O153" s="384" t="str">
        <f>IF(O$136="","",$O146/O$142/O$138*1000)</f>
        <v/>
      </c>
      <c r="P153" s="405"/>
      <c r="Q153" s="48"/>
      <c r="R153" s="160"/>
      <c r="S153" s="454"/>
      <c r="T153" s="455"/>
      <c r="U153" s="455"/>
      <c r="V153" s="455"/>
      <c r="W153" s="455"/>
      <c r="X153" s="456"/>
    </row>
    <row r="154" spans="1:24" ht="17.25" customHeight="1" x14ac:dyDescent="0.15">
      <c r="A154" s="246"/>
      <c r="B154" s="179">
        <v>7</v>
      </c>
      <c r="C154" s="48"/>
      <c r="D154" s="308" t="s">
        <v>276</v>
      </c>
      <c r="E154" s="327"/>
      <c r="F154" s="328"/>
      <c r="G154" s="169"/>
      <c r="H154" s="197" t="s">
        <v>298</v>
      </c>
      <c r="I154" s="391" t="str">
        <f>IF(I$136="","",I$147/I$142*1000)</f>
        <v/>
      </c>
      <c r="J154" s="407"/>
      <c r="K154" s="197" t="s">
        <v>321</v>
      </c>
      <c r="L154" s="391" t="str">
        <f>IF(L$136="","",$L147/L$142*1000)</f>
        <v/>
      </c>
      <c r="M154" s="407"/>
      <c r="N154" s="197" t="s">
        <v>321</v>
      </c>
      <c r="O154" s="391" t="str">
        <f>IF(O$136="","",$O147/O$142*1000)</f>
        <v/>
      </c>
      <c r="P154" s="407"/>
      <c r="Q154" s="160"/>
      <c r="R154" s="48"/>
      <c r="S154" s="454"/>
      <c r="T154" s="455"/>
      <c r="U154" s="455"/>
      <c r="V154" s="455"/>
      <c r="W154" s="455"/>
      <c r="X154" s="456"/>
    </row>
    <row r="155" spans="1:24" ht="17.25" customHeight="1" thickBot="1" x14ac:dyDescent="0.2">
      <c r="A155" s="246"/>
      <c r="B155" s="179">
        <v>8</v>
      </c>
      <c r="C155" s="160"/>
      <c r="D155" s="308" t="s">
        <v>278</v>
      </c>
      <c r="E155" s="329"/>
      <c r="F155" s="330"/>
      <c r="G155" s="168"/>
      <c r="H155" s="198" t="s">
        <v>287</v>
      </c>
      <c r="I155" s="385" t="str">
        <f>IF(I$136="","",I$148/I$142*1000)</f>
        <v/>
      </c>
      <c r="J155" s="414"/>
      <c r="K155" s="198" t="s">
        <v>322</v>
      </c>
      <c r="L155" s="385" t="str">
        <f>IF(L$136="","",$L148/L$142*1000)</f>
        <v/>
      </c>
      <c r="M155" s="414"/>
      <c r="N155" s="198" t="s">
        <v>322</v>
      </c>
      <c r="O155" s="385" t="str">
        <f>IF(O$136="","",$O148/O$142*1000)</f>
        <v/>
      </c>
      <c r="P155" s="414"/>
      <c r="Q155" s="160"/>
      <c r="R155" s="160"/>
      <c r="S155" s="454"/>
      <c r="T155" s="455"/>
      <c r="U155" s="455"/>
      <c r="V155" s="455"/>
      <c r="W155" s="455"/>
      <c r="X155" s="456"/>
    </row>
    <row r="156" spans="1:24" ht="17.25" customHeight="1" thickTop="1" thickBot="1" x14ac:dyDescent="0.2">
      <c r="A156" s="289"/>
      <c r="B156" s="190">
        <v>9</v>
      </c>
      <c r="C156" s="199"/>
      <c r="D156" s="308" t="s">
        <v>280</v>
      </c>
      <c r="E156" s="331"/>
      <c r="F156" s="332"/>
      <c r="G156" s="200"/>
      <c r="H156" s="201" t="s">
        <v>288</v>
      </c>
      <c r="I156" s="386">
        <f>SUM(I153:I155)</f>
        <v>0</v>
      </c>
      <c r="J156" s="415"/>
      <c r="K156" s="201" t="s">
        <v>323</v>
      </c>
      <c r="L156" s="386">
        <f>SUM(L153:L155)</f>
        <v>0</v>
      </c>
      <c r="M156" s="415"/>
      <c r="N156" s="201" t="s">
        <v>323</v>
      </c>
      <c r="O156" s="386">
        <f>SUM(O153:O155)</f>
        <v>0</v>
      </c>
      <c r="P156" s="415"/>
      <c r="Q156" s="160"/>
      <c r="R156" s="160"/>
      <c r="S156" s="454"/>
      <c r="T156" s="455"/>
      <c r="U156" s="455"/>
      <c r="V156" s="455"/>
      <c r="W156" s="455"/>
      <c r="X156" s="456"/>
    </row>
    <row r="157" spans="1:24" ht="14.25" thickBot="1" x14ac:dyDescent="0.2">
      <c r="A157" s="246"/>
      <c r="B157" s="184">
        <v>10</v>
      </c>
      <c r="C157" s="160"/>
      <c r="D157" s="308" t="s">
        <v>281</v>
      </c>
      <c r="E157" s="329"/>
      <c r="F157" s="330"/>
      <c r="G157" s="168"/>
      <c r="H157" s="168"/>
      <c r="I157" s="168"/>
      <c r="J157" s="168"/>
      <c r="K157" s="202"/>
      <c r="L157" s="168"/>
      <c r="M157" s="168"/>
      <c r="N157" s="168"/>
      <c r="O157" s="168"/>
      <c r="P157" s="168"/>
      <c r="Q157" s="160"/>
      <c r="R157" s="160"/>
      <c r="S157" s="454"/>
      <c r="T157" s="455"/>
      <c r="U157" s="455"/>
      <c r="V157" s="455"/>
      <c r="W157" s="455"/>
      <c r="X157" s="456"/>
    </row>
    <row r="158" spans="1:24" ht="18" thickBot="1" x14ac:dyDescent="0.2">
      <c r="A158" s="246"/>
      <c r="B158" s="184">
        <v>11</v>
      </c>
      <c r="C158" s="160"/>
      <c r="D158" s="309" t="s">
        <v>283</v>
      </c>
      <c r="E158" s="340"/>
      <c r="F158" s="341"/>
      <c r="G158" s="168"/>
      <c r="H158" s="203" t="s">
        <v>332</v>
      </c>
      <c r="I158" s="370" t="str">
        <f>IF(I136="","",I166)</f>
        <v/>
      </c>
      <c r="J158" s="416"/>
      <c r="K158" s="203" t="s">
        <v>333</v>
      </c>
      <c r="L158" s="370" t="str">
        <f>IF(L136="","",L166)</f>
        <v/>
      </c>
      <c r="M158" s="416"/>
      <c r="N158" s="203" t="s">
        <v>333</v>
      </c>
      <c r="O158" s="370" t="str">
        <f>IF(O136="","",O166)</f>
        <v/>
      </c>
      <c r="P158" s="416"/>
      <c r="Q158" s="160"/>
      <c r="R158" s="160"/>
      <c r="S158" s="454"/>
      <c r="T158" s="455"/>
      <c r="U158" s="455"/>
      <c r="V158" s="455"/>
      <c r="W158" s="455"/>
      <c r="X158" s="456"/>
    </row>
    <row r="159" spans="1:24" ht="18" thickBot="1" x14ac:dyDescent="0.2">
      <c r="A159" s="246"/>
      <c r="B159" s="160"/>
      <c r="C159" s="160"/>
      <c r="D159" s="160"/>
      <c r="E159" s="160"/>
      <c r="F159" s="168"/>
      <c r="G159" s="168"/>
      <c r="H159" s="204" t="s">
        <v>401</v>
      </c>
      <c r="I159" s="371" t="str">
        <f>IF(I136="","",1-I151/I158)</f>
        <v/>
      </c>
      <c r="J159" s="417"/>
      <c r="K159" s="204" t="s">
        <v>231</v>
      </c>
      <c r="L159" s="371" t="str">
        <f>IF(L136="","",1-L151/L158)</f>
        <v/>
      </c>
      <c r="M159" s="417"/>
      <c r="N159" s="204" t="s">
        <v>231</v>
      </c>
      <c r="O159" s="371" t="str">
        <f>IF(O136="","",1-O151/O158)</f>
        <v/>
      </c>
      <c r="P159" s="417"/>
      <c r="Q159" s="160"/>
      <c r="R159" s="160"/>
      <c r="S159" s="454"/>
      <c r="T159" s="455"/>
      <c r="U159" s="455"/>
      <c r="V159" s="455"/>
      <c r="W159" s="455"/>
      <c r="X159" s="456"/>
    </row>
    <row r="160" spans="1:24" ht="18" thickBot="1" x14ac:dyDescent="0.2">
      <c r="A160" s="246"/>
      <c r="B160" s="160"/>
      <c r="C160" s="160"/>
      <c r="D160" s="160"/>
      <c r="E160" s="160"/>
      <c r="F160" s="168"/>
      <c r="G160" s="168"/>
      <c r="H160" s="176" t="s">
        <v>330</v>
      </c>
      <c r="I160" s="357"/>
      <c r="J160" s="357"/>
      <c r="K160" s="356"/>
      <c r="L160" s="357"/>
      <c r="M160" s="357"/>
      <c r="N160" s="356"/>
      <c r="O160" s="357"/>
      <c r="P160" s="357"/>
      <c r="Q160" s="160"/>
      <c r="R160" s="160"/>
      <c r="S160" s="454"/>
      <c r="T160" s="455"/>
      <c r="U160" s="455"/>
      <c r="V160" s="455"/>
      <c r="W160" s="455"/>
      <c r="X160" s="456"/>
    </row>
    <row r="161" spans="1:24" x14ac:dyDescent="0.15">
      <c r="A161" s="246"/>
      <c r="B161" s="160"/>
      <c r="C161" s="160"/>
      <c r="D161" s="160"/>
      <c r="E161" s="160"/>
      <c r="F161" s="168"/>
      <c r="G161" s="168"/>
      <c r="H161" s="307" t="s">
        <v>324</v>
      </c>
      <c r="I161" s="366"/>
      <c r="J161" s="367"/>
      <c r="K161" s="307" t="s">
        <v>324</v>
      </c>
      <c r="L161" s="366"/>
      <c r="M161" s="367"/>
      <c r="N161" s="307" t="s">
        <v>324</v>
      </c>
      <c r="O161" s="366"/>
      <c r="P161" s="367"/>
      <c r="Q161" s="160"/>
      <c r="R161" s="160"/>
      <c r="S161" s="454"/>
      <c r="T161" s="455"/>
      <c r="U161" s="455"/>
      <c r="V161" s="455"/>
      <c r="W161" s="455"/>
      <c r="X161" s="456"/>
    </row>
    <row r="162" spans="1:24" x14ac:dyDescent="0.15">
      <c r="A162" s="246"/>
      <c r="B162" s="160"/>
      <c r="C162" s="160"/>
      <c r="D162" s="160"/>
      <c r="E162" s="160"/>
      <c r="F162" s="168"/>
      <c r="G162" s="168"/>
      <c r="H162" s="308" t="s">
        <v>325</v>
      </c>
      <c r="I162" s="358"/>
      <c r="J162" s="359"/>
      <c r="K162" s="308" t="s">
        <v>325</v>
      </c>
      <c r="L162" s="358"/>
      <c r="M162" s="359"/>
      <c r="N162" s="308" t="s">
        <v>325</v>
      </c>
      <c r="O162" s="358"/>
      <c r="P162" s="359"/>
      <c r="Q162" s="160"/>
      <c r="R162" s="160"/>
      <c r="S162" s="454"/>
      <c r="T162" s="455"/>
      <c r="U162" s="455"/>
      <c r="V162" s="455"/>
      <c r="W162" s="455"/>
      <c r="X162" s="456"/>
    </row>
    <row r="163" spans="1:24" x14ac:dyDescent="0.15">
      <c r="A163" s="246"/>
      <c r="B163" s="160"/>
      <c r="C163" s="160"/>
      <c r="D163" s="160"/>
      <c r="E163" s="160"/>
      <c r="F163" s="168"/>
      <c r="G163" s="168"/>
      <c r="H163" s="308" t="s">
        <v>368</v>
      </c>
      <c r="I163" s="358"/>
      <c r="J163" s="368"/>
      <c r="K163" s="308" t="s">
        <v>368</v>
      </c>
      <c r="L163" s="358"/>
      <c r="M163" s="368"/>
      <c r="N163" s="308" t="s">
        <v>368</v>
      </c>
      <c r="O163" s="358"/>
      <c r="P163" s="368"/>
      <c r="Q163" s="160"/>
      <c r="R163" s="160"/>
      <c r="S163" s="454"/>
      <c r="T163" s="455"/>
      <c r="U163" s="455"/>
      <c r="V163" s="455"/>
      <c r="W163" s="455"/>
      <c r="X163" s="456"/>
    </row>
    <row r="164" spans="1:24" x14ac:dyDescent="0.15">
      <c r="A164" s="246"/>
      <c r="B164" s="160"/>
      <c r="C164" s="160"/>
      <c r="D164" s="160"/>
      <c r="E164" s="160"/>
      <c r="F164" s="168"/>
      <c r="G164" s="168"/>
      <c r="H164" s="308" t="s">
        <v>327</v>
      </c>
      <c r="I164" s="358"/>
      <c r="J164" s="368"/>
      <c r="K164" s="308" t="s">
        <v>327</v>
      </c>
      <c r="L164" s="358"/>
      <c r="M164" s="368"/>
      <c r="N164" s="308" t="s">
        <v>327</v>
      </c>
      <c r="O164" s="358"/>
      <c r="P164" s="368"/>
      <c r="Q164" s="160"/>
      <c r="R164" s="160"/>
      <c r="S164" s="454"/>
      <c r="T164" s="455"/>
      <c r="U164" s="455"/>
      <c r="V164" s="455"/>
      <c r="W164" s="455"/>
      <c r="X164" s="456"/>
    </row>
    <row r="165" spans="1:24" x14ac:dyDescent="0.15">
      <c r="A165" s="246"/>
      <c r="B165" s="160"/>
      <c r="C165" s="160"/>
      <c r="D165" s="160"/>
      <c r="E165" s="160"/>
      <c r="F165" s="168"/>
      <c r="G165" s="168"/>
      <c r="H165" s="308" t="s">
        <v>328</v>
      </c>
      <c r="I165" s="360"/>
      <c r="J165" s="361"/>
      <c r="K165" s="308" t="s">
        <v>328</v>
      </c>
      <c r="L165" s="360"/>
      <c r="M165" s="361"/>
      <c r="N165" s="308" t="s">
        <v>328</v>
      </c>
      <c r="O165" s="360"/>
      <c r="P165" s="361"/>
      <c r="Q165" s="160"/>
      <c r="R165" s="160"/>
      <c r="S165" s="454"/>
      <c r="T165" s="455"/>
      <c r="U165" s="455"/>
      <c r="V165" s="455"/>
      <c r="W165" s="455"/>
      <c r="X165" s="456"/>
    </row>
    <row r="166" spans="1:24" ht="14.25" thickBot="1" x14ac:dyDescent="0.2">
      <c r="A166" s="246"/>
      <c r="B166" s="160"/>
      <c r="C166" s="160"/>
      <c r="D166" s="160"/>
      <c r="E166" s="160"/>
      <c r="F166" s="168"/>
      <c r="G166" s="168"/>
      <c r="H166" s="309" t="s">
        <v>329</v>
      </c>
      <c r="I166" s="362"/>
      <c r="J166" s="363"/>
      <c r="K166" s="309" t="s">
        <v>329</v>
      </c>
      <c r="L166" s="362"/>
      <c r="M166" s="363"/>
      <c r="N166" s="309" t="s">
        <v>329</v>
      </c>
      <c r="O166" s="362"/>
      <c r="P166" s="363"/>
      <c r="Q166" s="160"/>
      <c r="R166" s="160"/>
      <c r="S166" s="454"/>
      <c r="T166" s="455"/>
      <c r="U166" s="455"/>
      <c r="V166" s="455"/>
      <c r="W166" s="455"/>
      <c r="X166" s="456"/>
    </row>
    <row r="167" spans="1:24" ht="14.25" thickBot="1" x14ac:dyDescent="0.2">
      <c r="A167" s="246"/>
      <c r="B167" s="38" t="s">
        <v>331</v>
      </c>
      <c r="C167" s="160"/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0"/>
      <c r="O167" s="160"/>
      <c r="P167" s="160"/>
      <c r="Q167" s="160"/>
      <c r="R167" s="160"/>
      <c r="S167" s="454"/>
      <c r="T167" s="455"/>
      <c r="U167" s="455"/>
      <c r="V167" s="455"/>
      <c r="W167" s="455"/>
      <c r="X167" s="456"/>
    </row>
    <row r="168" spans="1:24" ht="26.25" thickBot="1" x14ac:dyDescent="0.2">
      <c r="A168" s="244"/>
      <c r="B168" s="335" t="s">
        <v>289</v>
      </c>
      <c r="C168" s="205"/>
      <c r="D168" s="206" t="s">
        <v>290</v>
      </c>
      <c r="E168" s="207" t="s">
        <v>291</v>
      </c>
      <c r="F168" s="208" t="s">
        <v>292</v>
      </c>
      <c r="G168" s="208" t="s">
        <v>293</v>
      </c>
      <c r="H168" s="208" t="s">
        <v>294</v>
      </c>
      <c r="I168" s="437" t="s">
        <v>295</v>
      </c>
      <c r="J168" s="209"/>
      <c r="K168" s="210"/>
      <c r="L168" s="210"/>
      <c r="M168" s="210"/>
      <c r="N168" s="210"/>
      <c r="O168" s="210"/>
      <c r="P168" s="210"/>
      <c r="Q168" s="210"/>
      <c r="R168" s="210"/>
      <c r="S168" s="454"/>
      <c r="T168" s="455"/>
      <c r="U168" s="455"/>
      <c r="V168" s="455"/>
      <c r="W168" s="455"/>
      <c r="X168" s="456"/>
    </row>
    <row r="169" spans="1:24" ht="17.25" customHeight="1" thickTop="1" x14ac:dyDescent="0.15">
      <c r="A169" s="244"/>
      <c r="B169" s="336"/>
      <c r="C169" s="211"/>
      <c r="D169" s="212"/>
      <c r="E169" s="213"/>
      <c r="F169" s="214"/>
      <c r="G169" s="215"/>
      <c r="H169" s="216"/>
      <c r="I169" s="400" t="str">
        <f>IF($E169="","",$H169/G169*F169)</f>
        <v/>
      </c>
      <c r="J169" s="217"/>
      <c r="K169" s="160"/>
      <c r="L169" s="160"/>
      <c r="M169" s="160"/>
      <c r="N169" s="160"/>
      <c r="O169" s="160"/>
      <c r="P169" s="160"/>
      <c r="Q169" s="160"/>
      <c r="R169" s="160"/>
      <c r="S169" s="454"/>
      <c r="T169" s="455"/>
      <c r="U169" s="455"/>
      <c r="V169" s="455"/>
      <c r="W169" s="455"/>
      <c r="X169" s="456"/>
    </row>
    <row r="170" spans="1:24" ht="17.25" customHeight="1" x14ac:dyDescent="0.15">
      <c r="A170" s="244"/>
      <c r="B170" s="337"/>
      <c r="C170" s="218"/>
      <c r="D170" s="219"/>
      <c r="E170" s="220"/>
      <c r="F170" s="221"/>
      <c r="G170" s="222"/>
      <c r="H170" s="223"/>
      <c r="I170" s="399" t="str">
        <f>IF($E170="","",$H170/G170*F170)</f>
        <v/>
      </c>
      <c r="J170" s="217"/>
      <c r="K170" s="160"/>
      <c r="L170" s="160"/>
      <c r="M170" s="160"/>
      <c r="N170" s="160"/>
      <c r="O170" s="160"/>
      <c r="P170" s="160"/>
      <c r="Q170" s="160"/>
      <c r="R170" s="160"/>
      <c r="S170" s="454"/>
      <c r="T170" s="455"/>
      <c r="U170" s="455"/>
      <c r="V170" s="455"/>
      <c r="W170" s="455"/>
      <c r="X170" s="456"/>
    </row>
    <row r="171" spans="1:24" ht="17.25" customHeight="1" x14ac:dyDescent="0.15">
      <c r="A171" s="244"/>
      <c r="B171" s="337"/>
      <c r="C171" s="218"/>
      <c r="D171" s="219"/>
      <c r="E171" s="220"/>
      <c r="F171" s="221"/>
      <c r="G171" s="222"/>
      <c r="H171" s="223"/>
      <c r="I171" s="399" t="str">
        <f t="shared" ref="I171:I182" si="11">IF($E171="","",$H171/G171*F171)</f>
        <v/>
      </c>
      <c r="J171" s="217"/>
      <c r="K171" s="160"/>
      <c r="L171" s="160"/>
      <c r="M171" s="160"/>
      <c r="N171" s="160"/>
      <c r="O171" s="160"/>
      <c r="P171" s="160"/>
      <c r="Q171" s="160"/>
      <c r="R171" s="160"/>
      <c r="S171" s="454"/>
      <c r="T171" s="455"/>
      <c r="U171" s="455"/>
      <c r="V171" s="455"/>
      <c r="W171" s="455"/>
      <c r="X171" s="456"/>
    </row>
    <row r="172" spans="1:24" ht="17.25" customHeight="1" x14ac:dyDescent="0.15">
      <c r="A172" s="244"/>
      <c r="B172" s="337"/>
      <c r="C172" s="218"/>
      <c r="D172" s="219"/>
      <c r="E172" s="220"/>
      <c r="F172" s="221"/>
      <c r="G172" s="222"/>
      <c r="H172" s="223"/>
      <c r="I172" s="399" t="str">
        <f t="shared" si="11"/>
        <v/>
      </c>
      <c r="J172" s="217"/>
      <c r="K172" s="160"/>
      <c r="L172" s="160"/>
      <c r="M172" s="160"/>
      <c r="N172" s="160"/>
      <c r="O172" s="160"/>
      <c r="P172" s="160"/>
      <c r="Q172" s="160"/>
      <c r="R172" s="160"/>
      <c r="S172" s="454"/>
      <c r="T172" s="455"/>
      <c r="U172" s="455"/>
      <c r="V172" s="455"/>
      <c r="W172" s="455"/>
      <c r="X172" s="456"/>
    </row>
    <row r="173" spans="1:24" ht="17.25" customHeight="1" x14ac:dyDescent="0.15">
      <c r="A173" s="244"/>
      <c r="B173" s="337"/>
      <c r="C173" s="218"/>
      <c r="D173" s="219"/>
      <c r="E173" s="220"/>
      <c r="F173" s="221"/>
      <c r="G173" s="224"/>
      <c r="H173" s="225"/>
      <c r="I173" s="399" t="str">
        <f t="shared" si="11"/>
        <v/>
      </c>
      <c r="J173" s="217"/>
      <c r="K173" s="160"/>
      <c r="L173" s="160"/>
      <c r="M173" s="160"/>
      <c r="N173" s="160"/>
      <c r="O173" s="160"/>
      <c r="P173" s="160"/>
      <c r="Q173" s="160"/>
      <c r="R173" s="160"/>
      <c r="S173" s="454"/>
      <c r="T173" s="455"/>
      <c r="U173" s="455"/>
      <c r="V173" s="455"/>
      <c r="W173" s="455"/>
      <c r="X173" s="456"/>
    </row>
    <row r="174" spans="1:24" ht="17.25" customHeight="1" x14ac:dyDescent="0.15">
      <c r="A174" s="244"/>
      <c r="B174" s="337"/>
      <c r="C174" s="218"/>
      <c r="D174" s="219"/>
      <c r="E174" s="220"/>
      <c r="F174" s="221"/>
      <c r="G174" s="222"/>
      <c r="H174" s="223"/>
      <c r="I174" s="399" t="str">
        <f t="shared" si="11"/>
        <v/>
      </c>
      <c r="J174" s="217"/>
      <c r="K174" s="160"/>
      <c r="L174" s="160"/>
      <c r="M174" s="160"/>
      <c r="N174" s="160"/>
      <c r="O174" s="160"/>
      <c r="P174" s="160"/>
      <c r="Q174" s="160"/>
      <c r="R174" s="160"/>
      <c r="S174" s="454"/>
      <c r="T174" s="455"/>
      <c r="U174" s="455"/>
      <c r="V174" s="455"/>
      <c r="W174" s="455"/>
      <c r="X174" s="456"/>
    </row>
    <row r="175" spans="1:24" ht="17.25" customHeight="1" x14ac:dyDescent="0.15">
      <c r="A175" s="244"/>
      <c r="B175" s="337"/>
      <c r="C175" s="218"/>
      <c r="D175" s="219"/>
      <c r="E175" s="220"/>
      <c r="F175" s="221"/>
      <c r="G175" s="222"/>
      <c r="H175" s="223"/>
      <c r="I175" s="399" t="str">
        <f t="shared" si="11"/>
        <v/>
      </c>
      <c r="J175" s="217"/>
      <c r="K175" s="160"/>
      <c r="L175" s="160"/>
      <c r="M175" s="160"/>
      <c r="N175" s="160"/>
      <c r="O175" s="160"/>
      <c r="P175" s="160"/>
      <c r="Q175" s="160"/>
      <c r="R175" s="160"/>
      <c r="S175" s="454"/>
      <c r="T175" s="455"/>
      <c r="U175" s="455"/>
      <c r="V175" s="455"/>
      <c r="W175" s="455"/>
      <c r="X175" s="456"/>
    </row>
    <row r="176" spans="1:24" ht="17.25" customHeight="1" x14ac:dyDescent="0.15">
      <c r="A176" s="244"/>
      <c r="B176" s="337"/>
      <c r="C176" s="218"/>
      <c r="D176" s="219"/>
      <c r="E176" s="220"/>
      <c r="F176" s="221"/>
      <c r="G176" s="222"/>
      <c r="H176" s="223"/>
      <c r="I176" s="399" t="str">
        <f t="shared" si="11"/>
        <v/>
      </c>
      <c r="J176" s="217"/>
      <c r="K176" s="160"/>
      <c r="L176" s="160"/>
      <c r="M176" s="160"/>
      <c r="N176" s="160"/>
      <c r="O176" s="160"/>
      <c r="P176" s="160"/>
      <c r="Q176" s="160"/>
      <c r="R176" s="160"/>
      <c r="S176" s="454"/>
      <c r="T176" s="455"/>
      <c r="U176" s="455"/>
      <c r="V176" s="455"/>
      <c r="W176" s="455"/>
      <c r="X176" s="456"/>
    </row>
    <row r="177" spans="1:24" ht="17.25" customHeight="1" x14ac:dyDescent="0.15">
      <c r="A177" s="244"/>
      <c r="B177" s="337"/>
      <c r="C177" s="218"/>
      <c r="D177" s="219"/>
      <c r="E177" s="220"/>
      <c r="F177" s="221"/>
      <c r="G177" s="222"/>
      <c r="H177" s="223"/>
      <c r="I177" s="399" t="str">
        <f t="shared" si="11"/>
        <v/>
      </c>
      <c r="J177" s="217"/>
      <c r="K177" s="160"/>
      <c r="L177" s="160"/>
      <c r="M177" s="160"/>
      <c r="N177" s="160"/>
      <c r="O177" s="160"/>
      <c r="P177" s="160"/>
      <c r="Q177" s="160"/>
      <c r="R177" s="160"/>
      <c r="S177" s="454"/>
      <c r="T177" s="455"/>
      <c r="U177" s="455"/>
      <c r="V177" s="455"/>
      <c r="W177" s="455"/>
      <c r="X177" s="456"/>
    </row>
    <row r="178" spans="1:24" ht="17.25" customHeight="1" x14ac:dyDescent="0.15">
      <c r="A178" s="244"/>
      <c r="B178" s="337"/>
      <c r="C178" s="218"/>
      <c r="D178" s="219"/>
      <c r="E178" s="220"/>
      <c r="F178" s="221"/>
      <c r="G178" s="222"/>
      <c r="H178" s="223"/>
      <c r="I178" s="399" t="str">
        <f t="shared" si="11"/>
        <v/>
      </c>
      <c r="J178" s="217"/>
      <c r="K178" s="160"/>
      <c r="L178" s="160"/>
      <c r="M178" s="160"/>
      <c r="N178" s="160"/>
      <c r="O178" s="160"/>
      <c r="P178" s="160"/>
      <c r="Q178" s="160"/>
      <c r="R178" s="160"/>
      <c r="S178" s="454"/>
      <c r="T178" s="455"/>
      <c r="U178" s="455"/>
      <c r="V178" s="455"/>
      <c r="W178" s="455"/>
      <c r="X178" s="456"/>
    </row>
    <row r="179" spans="1:24" ht="17.25" customHeight="1" x14ac:dyDescent="0.15">
      <c r="A179" s="244"/>
      <c r="B179" s="337"/>
      <c r="C179" s="218"/>
      <c r="D179" s="219"/>
      <c r="E179" s="220"/>
      <c r="F179" s="221"/>
      <c r="G179" s="222"/>
      <c r="H179" s="223"/>
      <c r="I179" s="399" t="str">
        <f t="shared" si="11"/>
        <v/>
      </c>
      <c r="J179" s="217"/>
      <c r="K179" s="160"/>
      <c r="L179" s="160"/>
      <c r="M179" s="160"/>
      <c r="N179" s="160"/>
      <c r="O179" s="160"/>
      <c r="P179" s="160"/>
      <c r="Q179" s="160"/>
      <c r="R179" s="160"/>
      <c r="S179" s="454"/>
      <c r="T179" s="455"/>
      <c r="U179" s="455"/>
      <c r="V179" s="455"/>
      <c r="W179" s="455"/>
      <c r="X179" s="456"/>
    </row>
    <row r="180" spans="1:24" ht="17.25" customHeight="1" x14ac:dyDescent="0.15">
      <c r="A180" s="244"/>
      <c r="B180" s="337"/>
      <c r="C180" s="218"/>
      <c r="D180" s="219"/>
      <c r="E180" s="220"/>
      <c r="F180" s="221"/>
      <c r="G180" s="222"/>
      <c r="H180" s="223"/>
      <c r="I180" s="399" t="str">
        <f t="shared" si="11"/>
        <v/>
      </c>
      <c r="J180" s="217"/>
      <c r="K180" s="160"/>
      <c r="L180" s="160"/>
      <c r="M180" s="160"/>
      <c r="N180" s="160"/>
      <c r="O180" s="160"/>
      <c r="P180" s="160"/>
      <c r="Q180" s="160"/>
      <c r="R180" s="160"/>
      <c r="S180" s="454"/>
      <c r="T180" s="455"/>
      <c r="U180" s="455"/>
      <c r="V180" s="455"/>
      <c r="W180" s="455"/>
      <c r="X180" s="456"/>
    </row>
    <row r="181" spans="1:24" ht="17.25" customHeight="1" x14ac:dyDescent="0.15">
      <c r="A181" s="244"/>
      <c r="B181" s="337"/>
      <c r="C181" s="218"/>
      <c r="D181" s="219"/>
      <c r="E181" s="220"/>
      <c r="F181" s="221"/>
      <c r="G181" s="222"/>
      <c r="H181" s="223"/>
      <c r="I181" s="399" t="str">
        <f t="shared" si="11"/>
        <v/>
      </c>
      <c r="J181" s="217"/>
      <c r="K181" s="160"/>
      <c r="L181" s="160"/>
      <c r="M181" s="160"/>
      <c r="N181" s="160"/>
      <c r="O181" s="160"/>
      <c r="P181" s="160"/>
      <c r="Q181" s="160"/>
      <c r="R181" s="160"/>
      <c r="S181" s="454"/>
      <c r="T181" s="455"/>
      <c r="U181" s="455"/>
      <c r="V181" s="455"/>
      <c r="W181" s="455"/>
      <c r="X181" s="456"/>
    </row>
    <row r="182" spans="1:24" ht="17.25" customHeight="1" x14ac:dyDescent="0.15">
      <c r="A182" s="244"/>
      <c r="B182" s="337"/>
      <c r="C182" s="218"/>
      <c r="D182" s="219"/>
      <c r="E182" s="220"/>
      <c r="F182" s="221"/>
      <c r="G182" s="222"/>
      <c r="H182" s="223"/>
      <c r="I182" s="399" t="str">
        <f t="shared" si="11"/>
        <v/>
      </c>
      <c r="J182" s="217"/>
      <c r="K182" s="160"/>
      <c r="L182" s="160"/>
      <c r="M182" s="160"/>
      <c r="N182" s="160"/>
      <c r="O182" s="160"/>
      <c r="P182" s="160"/>
      <c r="Q182" s="160"/>
      <c r="R182" s="160"/>
      <c r="S182" s="454"/>
      <c r="T182" s="455"/>
      <c r="U182" s="455"/>
      <c r="V182" s="455"/>
      <c r="W182" s="455"/>
      <c r="X182" s="456"/>
    </row>
    <row r="183" spans="1:24" ht="17.25" customHeight="1" thickBot="1" x14ac:dyDescent="0.2">
      <c r="A183" s="244"/>
      <c r="B183" s="338"/>
      <c r="C183" s="226"/>
      <c r="D183" s="227"/>
      <c r="E183" s="228"/>
      <c r="F183" s="229"/>
      <c r="G183" s="230"/>
      <c r="H183" s="231"/>
      <c r="I183" s="435" t="str">
        <f>IF($E183="","",$H183/G183*F183)</f>
        <v/>
      </c>
      <c r="J183" s="232"/>
      <c r="K183" s="160"/>
      <c r="L183" s="160"/>
      <c r="M183" s="160"/>
      <c r="N183" s="160"/>
      <c r="O183" s="160"/>
      <c r="P183" s="160"/>
      <c r="Q183" s="160"/>
      <c r="R183" s="160"/>
      <c r="S183" s="454"/>
      <c r="T183" s="455"/>
      <c r="U183" s="455"/>
      <c r="V183" s="455"/>
      <c r="W183" s="455"/>
      <c r="X183" s="456"/>
    </row>
    <row r="184" spans="1:24" ht="17.25" customHeight="1" thickBot="1" x14ac:dyDescent="0.2">
      <c r="A184" s="244"/>
      <c r="B184" s="3"/>
      <c r="C184" s="160"/>
      <c r="D184" s="160"/>
      <c r="E184" s="160"/>
      <c r="F184" s="233"/>
      <c r="G184" s="233"/>
      <c r="H184" s="234" t="s">
        <v>232</v>
      </c>
      <c r="I184" s="436">
        <f>SUM(I169:I183)</f>
        <v>0</v>
      </c>
      <c r="J184" s="235"/>
      <c r="K184" s="160"/>
      <c r="L184" s="160"/>
      <c r="M184" s="160"/>
      <c r="N184" s="160"/>
      <c r="O184" s="160"/>
      <c r="P184" s="160"/>
      <c r="Q184" s="160"/>
      <c r="R184" s="160"/>
      <c r="S184" s="457"/>
      <c r="T184" s="458"/>
      <c r="U184" s="458"/>
      <c r="V184" s="458"/>
      <c r="W184" s="458"/>
      <c r="X184" s="459"/>
    </row>
    <row r="185" spans="1:24" ht="17.25" customHeight="1" x14ac:dyDescent="0.15">
      <c r="A185" s="244"/>
      <c r="B185" s="164"/>
      <c r="C185" s="164"/>
      <c r="D185" s="164"/>
      <c r="E185" s="236"/>
      <c r="F185" s="236"/>
      <c r="G185" s="160"/>
      <c r="H185" s="160"/>
      <c r="I185" s="192"/>
      <c r="J185" s="192"/>
      <c r="K185" s="237"/>
      <c r="L185" s="192"/>
      <c r="M185" s="192"/>
      <c r="N185" s="237"/>
      <c r="O185" s="192"/>
      <c r="P185" s="192"/>
      <c r="Q185" s="237"/>
      <c r="R185" s="162"/>
    </row>
    <row r="186" spans="1:24" ht="17.25" customHeight="1" x14ac:dyDescent="0.15">
      <c r="A186" s="244"/>
      <c r="D186" s="244"/>
      <c r="E186" s="244"/>
      <c r="F186" s="244"/>
      <c r="G186" s="17"/>
    </row>
    <row r="187" spans="1:24" ht="17.25" customHeight="1" x14ac:dyDescent="0.15">
      <c r="A187" s="244"/>
      <c r="C187" s="238"/>
      <c r="D187" s="244"/>
      <c r="E187" s="244"/>
      <c r="F187" s="244"/>
      <c r="G187" s="17"/>
      <c r="Q187" s="17"/>
    </row>
    <row r="188" spans="1:24" ht="17.25" customHeight="1" x14ac:dyDescent="0.15">
      <c r="A188" s="244"/>
      <c r="B188" s="239"/>
      <c r="C188" s="17"/>
      <c r="D188" s="244"/>
      <c r="E188" s="244"/>
      <c r="F188" s="244"/>
      <c r="G188" s="17"/>
      <c r="Q188" s="17"/>
    </row>
    <row r="189" spans="1:24" ht="17.25" customHeight="1" x14ac:dyDescent="0.15">
      <c r="A189" s="244"/>
      <c r="B189" s="239"/>
      <c r="C189" s="17"/>
      <c r="D189" s="244"/>
      <c r="E189" s="244"/>
      <c r="F189" s="244"/>
      <c r="Q189" s="17"/>
    </row>
    <row r="190" spans="1:24" ht="17.25" customHeight="1" x14ac:dyDescent="0.15">
      <c r="A190" s="244"/>
      <c r="B190" s="239"/>
      <c r="C190" s="17"/>
      <c r="D190" s="244"/>
      <c r="E190" s="244"/>
      <c r="F190" s="244"/>
      <c r="Q190" s="17"/>
    </row>
    <row r="191" spans="1:24" ht="17.25" customHeight="1" x14ac:dyDescent="0.15">
      <c r="A191" s="244"/>
      <c r="B191" s="240"/>
      <c r="C191" s="241"/>
      <c r="D191" s="244"/>
      <c r="E191" s="244"/>
      <c r="F191" s="244"/>
      <c r="G191" s="241"/>
      <c r="Q191" s="243"/>
      <c r="R191" s="244"/>
      <c r="S191" s="244"/>
      <c r="T191" s="244"/>
      <c r="U191" s="244"/>
      <c r="V191" s="244"/>
      <c r="W191" s="317"/>
      <c r="X191" s="317"/>
    </row>
    <row r="192" spans="1:24" ht="17.25" customHeight="1" x14ac:dyDescent="0.15">
      <c r="A192" s="244"/>
      <c r="B192" s="240"/>
      <c r="C192" s="245"/>
      <c r="D192" s="244"/>
      <c r="E192" s="244"/>
      <c r="F192" s="244"/>
      <c r="G192" s="241"/>
      <c r="H192" s="241"/>
      <c r="I192" s="241"/>
      <c r="J192" s="241"/>
      <c r="K192" s="241"/>
      <c r="L192" s="242"/>
      <c r="M192" s="242"/>
      <c r="N192" s="242"/>
      <c r="O192" s="242"/>
      <c r="P192" s="242"/>
      <c r="Q192" s="243"/>
      <c r="R192" s="244"/>
      <c r="S192" s="244"/>
      <c r="T192" s="244"/>
      <c r="U192" s="244"/>
      <c r="V192" s="244"/>
      <c r="W192" s="317"/>
      <c r="X192" s="317"/>
    </row>
    <row r="193" spans="1:24" ht="17.25" customHeight="1" x14ac:dyDescent="0.15">
      <c r="A193" s="244"/>
      <c r="B193" s="240"/>
      <c r="C193" s="241"/>
      <c r="D193" s="244"/>
      <c r="E193" s="244"/>
      <c r="F193" s="244"/>
      <c r="G193" s="241"/>
      <c r="H193" s="241"/>
      <c r="I193" s="241"/>
      <c r="J193" s="241"/>
      <c r="K193" s="241"/>
      <c r="L193" s="242"/>
      <c r="M193" s="242"/>
      <c r="N193" s="242"/>
      <c r="O193" s="242"/>
      <c r="P193" s="242"/>
      <c r="Q193" s="243"/>
      <c r="R193" s="244"/>
      <c r="S193" s="244"/>
      <c r="T193" s="244"/>
      <c r="U193" s="244"/>
      <c r="V193" s="244"/>
      <c r="W193" s="317"/>
      <c r="X193" s="317"/>
    </row>
    <row r="194" spans="1:24" ht="17.25" customHeight="1" x14ac:dyDescent="0.15">
      <c r="A194" s="244"/>
      <c r="B194" s="240"/>
      <c r="C194" s="241"/>
      <c r="D194" s="244"/>
      <c r="E194" s="244"/>
      <c r="F194" s="244"/>
      <c r="G194" s="241"/>
      <c r="H194" s="241"/>
      <c r="I194" s="241"/>
      <c r="J194" s="241"/>
      <c r="K194" s="241"/>
      <c r="L194" s="242"/>
      <c r="M194" s="242"/>
      <c r="N194" s="242"/>
      <c r="O194" s="242"/>
      <c r="P194" s="242"/>
      <c r="Q194" s="243"/>
      <c r="R194" s="244"/>
      <c r="S194" s="244"/>
      <c r="T194" s="244"/>
      <c r="U194" s="244"/>
      <c r="V194" s="244"/>
      <c r="W194" s="317"/>
      <c r="X194" s="317"/>
    </row>
    <row r="195" spans="1:24" ht="17.25" customHeight="1" x14ac:dyDescent="0.15">
      <c r="A195" s="244"/>
      <c r="B195" s="240"/>
      <c r="C195" s="241"/>
      <c r="D195" s="244"/>
      <c r="E195" s="244"/>
      <c r="F195" s="244"/>
      <c r="G195" s="241"/>
      <c r="H195" s="241"/>
      <c r="I195" s="241"/>
      <c r="J195" s="241"/>
      <c r="K195" s="241"/>
      <c r="L195" s="243"/>
      <c r="M195" s="243"/>
      <c r="N195" s="242"/>
      <c r="O195" s="242"/>
      <c r="P195" s="242"/>
      <c r="Q195" s="243"/>
      <c r="R195" s="244"/>
      <c r="S195" s="244"/>
      <c r="T195" s="244"/>
      <c r="U195" s="244"/>
      <c r="V195" s="244"/>
      <c r="W195" s="317"/>
      <c r="X195" s="317"/>
    </row>
    <row r="196" spans="1:24" ht="17.25" customHeight="1" x14ac:dyDescent="0.15">
      <c r="A196" s="244"/>
      <c r="B196" s="240"/>
      <c r="C196" s="241"/>
      <c r="D196" s="244"/>
      <c r="E196" s="244"/>
      <c r="F196" s="244"/>
      <c r="G196" s="241"/>
      <c r="H196" s="241"/>
      <c r="I196" s="241"/>
      <c r="J196" s="241"/>
      <c r="K196" s="241"/>
      <c r="L196" s="243"/>
      <c r="M196" s="243"/>
      <c r="N196" s="243"/>
      <c r="O196" s="243"/>
      <c r="P196" s="243"/>
      <c r="Q196" s="243"/>
      <c r="R196" s="244"/>
      <c r="S196" s="244"/>
      <c r="T196" s="244"/>
      <c r="U196" s="244"/>
      <c r="V196" s="244"/>
      <c r="W196" s="317"/>
      <c r="X196" s="317"/>
    </row>
    <row r="197" spans="1:24" ht="17.25" customHeight="1" x14ac:dyDescent="0.15">
      <c r="A197" s="244"/>
      <c r="B197" s="240"/>
      <c r="C197" s="241"/>
      <c r="D197" s="244"/>
      <c r="E197" s="244"/>
      <c r="F197" s="244"/>
      <c r="G197" s="241"/>
      <c r="H197" s="241"/>
      <c r="I197" s="241"/>
      <c r="J197" s="241"/>
      <c r="K197" s="241"/>
      <c r="L197" s="243"/>
      <c r="M197" s="243"/>
      <c r="N197" s="243"/>
      <c r="O197" s="243"/>
      <c r="P197" s="243"/>
      <c r="Q197" s="243"/>
      <c r="R197" s="244"/>
      <c r="S197" s="244"/>
      <c r="T197" s="244"/>
      <c r="U197" s="244"/>
      <c r="V197" s="244"/>
      <c r="W197" s="317"/>
      <c r="X197" s="317"/>
    </row>
    <row r="198" spans="1:24" ht="17.25" customHeight="1" x14ac:dyDescent="0.15">
      <c r="A198" s="244"/>
      <c r="B198" s="240"/>
      <c r="C198" s="241"/>
      <c r="D198" s="244"/>
      <c r="E198" s="244"/>
      <c r="F198" s="244"/>
      <c r="G198" s="241"/>
      <c r="H198" s="241"/>
      <c r="I198" s="241"/>
      <c r="J198" s="241"/>
      <c r="K198" s="241"/>
      <c r="L198" s="241"/>
      <c r="M198" s="241"/>
      <c r="N198" s="243"/>
      <c r="O198" s="243"/>
      <c r="P198" s="243"/>
      <c r="Q198" s="243"/>
      <c r="R198" s="244"/>
      <c r="S198" s="244"/>
      <c r="T198" s="244"/>
      <c r="U198" s="244"/>
      <c r="V198" s="244"/>
      <c r="W198" s="317"/>
      <c r="X198" s="317"/>
    </row>
    <row r="199" spans="1:24" ht="17.25" customHeight="1" x14ac:dyDescent="0.15">
      <c r="A199" s="244"/>
      <c r="B199" s="240"/>
      <c r="C199" s="241"/>
      <c r="D199" s="244"/>
      <c r="E199" s="244"/>
      <c r="F199" s="244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1"/>
      <c r="R199" s="244"/>
      <c r="S199" s="244"/>
      <c r="T199" s="244"/>
      <c r="U199" s="244"/>
      <c r="V199" s="244"/>
      <c r="W199" s="317"/>
      <c r="X199" s="317"/>
    </row>
    <row r="200" spans="1:24" ht="17.25" customHeight="1" x14ac:dyDescent="0.15">
      <c r="A200" s="244"/>
      <c r="B200" s="247"/>
      <c r="C200" s="241"/>
      <c r="D200" s="244"/>
      <c r="E200" s="244"/>
      <c r="F200" s="244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1"/>
      <c r="R200" s="244"/>
      <c r="S200" s="244"/>
      <c r="T200" s="244"/>
      <c r="U200" s="244"/>
      <c r="V200" s="244"/>
      <c r="W200" s="317"/>
      <c r="X200" s="317"/>
    </row>
    <row r="201" spans="1:24" ht="17.25" customHeight="1" x14ac:dyDescent="0.15">
      <c r="A201" s="244"/>
      <c r="B201" s="247"/>
      <c r="C201" s="241"/>
      <c r="D201" s="244"/>
      <c r="E201" s="244"/>
      <c r="F201" s="244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1"/>
      <c r="R201" s="244"/>
      <c r="S201" s="244"/>
      <c r="T201" s="244"/>
      <c r="U201" s="244"/>
      <c r="V201" s="244"/>
      <c r="W201" s="317"/>
      <c r="X201" s="317"/>
    </row>
    <row r="202" spans="1:24" ht="17.25" customHeight="1" x14ac:dyDescent="0.15">
      <c r="A202" s="244"/>
      <c r="B202" s="247"/>
      <c r="C202" s="241"/>
      <c r="D202" s="244"/>
      <c r="E202" s="244"/>
      <c r="F202" s="244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1"/>
      <c r="R202" s="244"/>
      <c r="S202" s="244"/>
      <c r="T202" s="244"/>
      <c r="U202" s="244"/>
      <c r="V202" s="244"/>
      <c r="W202" s="317"/>
      <c r="X202" s="317"/>
    </row>
    <row r="203" spans="1:24" ht="17.25" customHeight="1" x14ac:dyDescent="0.15">
      <c r="A203" s="244"/>
      <c r="B203" s="248"/>
      <c r="C203" s="244"/>
      <c r="D203" s="244"/>
      <c r="E203" s="244"/>
      <c r="F203" s="244"/>
      <c r="G203" s="244"/>
      <c r="H203" s="244"/>
      <c r="I203" s="244"/>
      <c r="J203" s="244"/>
      <c r="K203" s="244"/>
      <c r="L203" s="244"/>
      <c r="M203" s="244"/>
      <c r="N203" s="244"/>
      <c r="O203" s="244"/>
      <c r="P203" s="244"/>
      <c r="Q203" s="244"/>
      <c r="R203" s="244"/>
      <c r="S203" s="244"/>
      <c r="T203" s="244"/>
      <c r="U203" s="244"/>
      <c r="V203" s="244"/>
      <c r="W203" s="317"/>
      <c r="X203" s="317"/>
    </row>
    <row r="204" spans="1:24" ht="25.5" x14ac:dyDescent="0.15">
      <c r="A204" s="244"/>
      <c r="B204" s="248"/>
      <c r="C204" s="244"/>
      <c r="D204" s="244"/>
      <c r="E204" s="244"/>
      <c r="F204" s="244"/>
      <c r="G204" s="244"/>
      <c r="H204" s="244"/>
      <c r="I204" s="244"/>
      <c r="J204" s="244"/>
      <c r="K204" s="244"/>
      <c r="L204" s="244"/>
      <c r="M204" s="244"/>
      <c r="N204" s="244"/>
      <c r="O204" s="244"/>
      <c r="P204" s="244"/>
      <c r="Q204" s="244"/>
      <c r="R204" s="244"/>
      <c r="S204" s="244"/>
      <c r="T204" s="244"/>
      <c r="U204" s="244"/>
      <c r="V204" s="244"/>
      <c r="W204" s="317"/>
      <c r="X204" s="317"/>
    </row>
    <row r="205" spans="1:24" ht="25.5" x14ac:dyDescent="0.15">
      <c r="A205" s="244"/>
      <c r="B205" s="248"/>
      <c r="C205" s="244"/>
      <c r="D205" s="244"/>
      <c r="E205" s="244"/>
      <c r="F205" s="244"/>
      <c r="G205" s="244"/>
      <c r="H205" s="244"/>
      <c r="I205" s="244"/>
      <c r="J205" s="244"/>
      <c r="K205" s="244"/>
      <c r="L205" s="244"/>
      <c r="M205" s="244"/>
      <c r="N205" s="244"/>
      <c r="O205" s="244"/>
      <c r="P205" s="244"/>
      <c r="Q205" s="244"/>
      <c r="R205" s="244"/>
      <c r="S205" s="244"/>
      <c r="T205" s="244"/>
      <c r="U205" s="244"/>
      <c r="V205" s="244"/>
      <c r="W205" s="317"/>
      <c r="X205" s="317"/>
    </row>
    <row r="206" spans="1:24" ht="25.5" x14ac:dyDescent="0.15">
      <c r="A206" s="244"/>
      <c r="B206" s="248"/>
      <c r="C206" s="244"/>
      <c r="D206" s="244"/>
      <c r="E206" s="244"/>
      <c r="F206" s="244"/>
      <c r="G206" s="244"/>
      <c r="H206" s="244"/>
      <c r="I206" s="244"/>
      <c r="J206" s="244"/>
      <c r="K206" s="244"/>
      <c r="L206" s="244"/>
      <c r="M206" s="244"/>
      <c r="N206" s="244"/>
      <c r="O206" s="244"/>
      <c r="P206" s="244"/>
      <c r="Q206" s="244"/>
      <c r="R206" s="244"/>
      <c r="S206" s="244"/>
      <c r="T206" s="244"/>
      <c r="U206" s="244"/>
      <c r="V206" s="244"/>
      <c r="W206" s="317"/>
      <c r="X206" s="317"/>
    </row>
    <row r="207" spans="1:24" ht="25.5" x14ac:dyDescent="0.15">
      <c r="A207" s="244"/>
      <c r="B207" s="248"/>
      <c r="C207" s="244"/>
      <c r="D207" s="244"/>
      <c r="E207" s="244"/>
      <c r="F207" s="244"/>
      <c r="G207" s="244"/>
      <c r="H207" s="244"/>
      <c r="I207" s="244"/>
      <c r="J207" s="244"/>
      <c r="K207" s="244"/>
      <c r="L207" s="244"/>
      <c r="M207" s="244"/>
      <c r="N207" s="244"/>
      <c r="O207" s="244"/>
      <c r="P207" s="244"/>
      <c r="Q207" s="244"/>
      <c r="R207" s="244"/>
      <c r="S207" s="244"/>
      <c r="T207" s="244"/>
      <c r="U207" s="244"/>
      <c r="V207" s="244"/>
      <c r="W207" s="317"/>
      <c r="X207" s="317"/>
    </row>
    <row r="208" spans="1:24" ht="25.5" x14ac:dyDescent="0.15">
      <c r="A208" s="244"/>
      <c r="B208" s="248"/>
      <c r="C208" s="244"/>
      <c r="D208" s="244"/>
      <c r="E208" s="244"/>
      <c r="F208" s="244"/>
      <c r="G208" s="244"/>
      <c r="H208" s="244"/>
      <c r="I208" s="244"/>
      <c r="J208" s="244"/>
      <c r="K208" s="244"/>
      <c r="L208" s="244"/>
      <c r="M208" s="244"/>
      <c r="N208" s="244"/>
      <c r="O208" s="244"/>
      <c r="P208" s="244"/>
      <c r="Q208" s="244"/>
      <c r="R208" s="244"/>
      <c r="S208" s="244"/>
      <c r="T208" s="244"/>
      <c r="U208" s="244"/>
      <c r="V208" s="244"/>
      <c r="W208" s="317"/>
      <c r="X208" s="317"/>
    </row>
    <row r="209" spans="1:24" ht="25.5" x14ac:dyDescent="0.15">
      <c r="A209" s="244"/>
      <c r="B209" s="248"/>
      <c r="C209" s="244"/>
      <c r="D209" s="244"/>
      <c r="E209" s="244"/>
      <c r="F209" s="244"/>
      <c r="G209" s="244"/>
      <c r="H209" s="244"/>
      <c r="I209" s="244"/>
      <c r="J209" s="244"/>
      <c r="K209" s="244"/>
      <c r="L209" s="244"/>
      <c r="M209" s="244"/>
      <c r="N209" s="244"/>
      <c r="O209" s="244"/>
      <c r="P209" s="244"/>
      <c r="Q209" s="244"/>
      <c r="R209" s="244"/>
      <c r="S209" s="244"/>
      <c r="T209" s="244"/>
      <c r="U209" s="244"/>
      <c r="V209" s="244"/>
      <c r="W209" s="317"/>
      <c r="X209" s="317"/>
    </row>
    <row r="210" spans="1:24" ht="25.5" x14ac:dyDescent="0.15">
      <c r="A210" s="244"/>
      <c r="B210" s="248"/>
      <c r="C210" s="244"/>
      <c r="D210" s="244"/>
      <c r="E210" s="244"/>
      <c r="F210" s="244"/>
      <c r="G210" s="244"/>
      <c r="H210" s="244"/>
      <c r="I210" s="244"/>
      <c r="J210" s="244"/>
      <c r="K210" s="244"/>
      <c r="L210" s="244"/>
      <c r="M210" s="244"/>
      <c r="N210" s="244"/>
      <c r="O210" s="244"/>
      <c r="P210" s="244"/>
      <c r="Q210" s="244"/>
      <c r="R210" s="244"/>
      <c r="S210" s="244"/>
      <c r="T210" s="244"/>
      <c r="U210" s="244"/>
      <c r="V210" s="244"/>
      <c r="W210" s="317"/>
      <c r="X210" s="317"/>
    </row>
    <row r="211" spans="1:24" ht="25.5" x14ac:dyDescent="0.15">
      <c r="A211" s="244"/>
      <c r="B211" s="248"/>
      <c r="C211" s="244"/>
      <c r="D211" s="244"/>
      <c r="E211" s="244"/>
      <c r="F211" s="244"/>
      <c r="G211" s="244"/>
      <c r="H211" s="244"/>
      <c r="I211" s="244"/>
      <c r="J211" s="244"/>
      <c r="K211" s="244"/>
      <c r="L211" s="244"/>
      <c r="M211" s="244"/>
      <c r="N211" s="244"/>
      <c r="O211" s="244"/>
      <c r="P211" s="244"/>
      <c r="Q211" s="244"/>
      <c r="R211" s="244"/>
      <c r="S211" s="244"/>
      <c r="T211" s="244"/>
      <c r="U211" s="244"/>
      <c r="V211" s="244"/>
      <c r="W211" s="317"/>
      <c r="X211" s="317"/>
    </row>
    <row r="212" spans="1:24" ht="25.5" x14ac:dyDescent="0.15">
      <c r="A212" s="244"/>
      <c r="B212" s="248"/>
      <c r="C212" s="244"/>
      <c r="D212" s="244"/>
      <c r="E212" s="244"/>
      <c r="F212" s="244"/>
      <c r="G212" s="244"/>
      <c r="H212" s="244"/>
      <c r="I212" s="244"/>
      <c r="J212" s="244"/>
      <c r="K212" s="244"/>
      <c r="L212" s="244"/>
      <c r="M212" s="244"/>
      <c r="N212" s="244"/>
      <c r="O212" s="244"/>
      <c r="P212" s="244"/>
      <c r="Q212" s="244"/>
      <c r="R212" s="244"/>
      <c r="S212" s="244"/>
      <c r="T212" s="244"/>
      <c r="U212" s="244"/>
      <c r="V212" s="244"/>
      <c r="W212" s="317"/>
      <c r="X212" s="317"/>
    </row>
    <row r="213" spans="1:24" ht="25.5" x14ac:dyDescent="0.15">
      <c r="A213" s="244"/>
      <c r="B213" s="248"/>
      <c r="C213" s="244"/>
      <c r="D213" s="244"/>
      <c r="E213" s="244"/>
      <c r="F213" s="244"/>
      <c r="G213" s="244"/>
      <c r="H213" s="244"/>
      <c r="I213" s="244"/>
      <c r="J213" s="244"/>
      <c r="K213" s="244"/>
      <c r="L213" s="244"/>
      <c r="M213" s="244"/>
      <c r="N213" s="244"/>
      <c r="O213" s="244"/>
      <c r="P213" s="244"/>
      <c r="Q213" s="244"/>
      <c r="R213" s="244"/>
      <c r="S213" s="244"/>
      <c r="T213" s="244"/>
      <c r="U213" s="244"/>
      <c r="V213" s="244"/>
      <c r="W213" s="317"/>
      <c r="X213" s="317"/>
    </row>
    <row r="214" spans="1:24" ht="25.5" x14ac:dyDescent="0.15">
      <c r="A214" s="244"/>
      <c r="B214" s="248"/>
      <c r="C214" s="244"/>
      <c r="D214" s="244"/>
      <c r="E214" s="244"/>
      <c r="F214" s="244"/>
      <c r="G214" s="244"/>
      <c r="H214" s="244"/>
      <c r="I214" s="244"/>
      <c r="J214" s="244"/>
      <c r="K214" s="244"/>
      <c r="L214" s="244"/>
      <c r="M214" s="244"/>
      <c r="N214" s="244"/>
      <c r="O214" s="244"/>
      <c r="P214" s="244"/>
      <c r="Q214" s="244"/>
      <c r="R214" s="244"/>
      <c r="S214" s="244"/>
      <c r="T214" s="244"/>
      <c r="U214" s="244"/>
      <c r="V214" s="244"/>
      <c r="W214" s="317"/>
      <c r="X214" s="317"/>
    </row>
    <row r="215" spans="1:24" ht="25.5" x14ac:dyDescent="0.15">
      <c r="A215" s="244"/>
      <c r="B215" s="248"/>
      <c r="C215" s="244"/>
      <c r="D215" s="244"/>
      <c r="E215" s="244"/>
      <c r="F215" s="244"/>
      <c r="G215" s="244"/>
      <c r="H215" s="244"/>
      <c r="I215" s="244"/>
      <c r="J215" s="244"/>
      <c r="K215" s="244"/>
      <c r="L215" s="244"/>
      <c r="M215" s="244"/>
      <c r="N215" s="244"/>
      <c r="O215" s="244"/>
      <c r="P215" s="244"/>
      <c r="Q215" s="244"/>
      <c r="R215" s="244"/>
      <c r="S215" s="244"/>
      <c r="T215" s="244"/>
      <c r="U215" s="244"/>
      <c r="V215" s="244"/>
      <c r="W215" s="317"/>
      <c r="X215" s="317"/>
    </row>
    <row r="216" spans="1:24" ht="25.5" x14ac:dyDescent="0.15">
      <c r="A216" s="244"/>
      <c r="B216" s="248"/>
      <c r="C216" s="244"/>
      <c r="D216" s="244"/>
      <c r="E216" s="244"/>
      <c r="F216" s="244"/>
      <c r="G216" s="244"/>
      <c r="H216" s="244"/>
      <c r="I216" s="244"/>
      <c r="J216" s="244"/>
      <c r="K216" s="244"/>
      <c r="L216" s="244"/>
      <c r="M216" s="244"/>
      <c r="N216" s="244"/>
      <c r="O216" s="244"/>
      <c r="P216" s="244"/>
      <c r="Q216" s="244"/>
      <c r="R216" s="244"/>
      <c r="S216" s="244"/>
      <c r="T216" s="244"/>
      <c r="U216" s="244"/>
      <c r="V216" s="244"/>
      <c r="W216" s="317"/>
      <c r="X216" s="317"/>
    </row>
    <row r="217" spans="1:24" ht="25.5" x14ac:dyDescent="0.15">
      <c r="A217" s="244"/>
      <c r="B217" s="248"/>
      <c r="C217" s="244"/>
      <c r="D217" s="244"/>
      <c r="E217" s="244"/>
      <c r="F217" s="244"/>
      <c r="G217" s="244"/>
      <c r="H217" s="244"/>
      <c r="I217" s="244"/>
      <c r="J217" s="244"/>
      <c r="K217" s="244"/>
      <c r="L217" s="244"/>
      <c r="M217" s="244"/>
      <c r="N217" s="244"/>
      <c r="O217" s="244"/>
      <c r="P217" s="244"/>
      <c r="Q217" s="244"/>
      <c r="R217" s="244"/>
      <c r="S217" s="244"/>
      <c r="T217" s="244"/>
      <c r="U217" s="244"/>
      <c r="V217" s="244"/>
      <c r="W217" s="317"/>
      <c r="X217" s="317"/>
    </row>
    <row r="218" spans="1:24" ht="25.5" x14ac:dyDescent="0.15">
      <c r="A218" s="244"/>
      <c r="B218" s="248"/>
      <c r="C218" s="244"/>
      <c r="D218" s="244"/>
      <c r="E218" s="244"/>
      <c r="F218" s="244"/>
      <c r="G218" s="244"/>
      <c r="H218" s="244"/>
      <c r="I218" s="244"/>
      <c r="J218" s="244"/>
      <c r="K218" s="244"/>
      <c r="L218" s="244"/>
      <c r="M218" s="244"/>
      <c r="N218" s="244"/>
      <c r="O218" s="244"/>
      <c r="P218" s="244"/>
      <c r="Q218" s="244"/>
      <c r="R218" s="244"/>
      <c r="S218" s="244"/>
      <c r="T218" s="244"/>
      <c r="U218" s="244"/>
      <c r="V218" s="244"/>
      <c r="W218" s="317"/>
      <c r="X218" s="317"/>
    </row>
    <row r="219" spans="1:24" ht="25.5" x14ac:dyDescent="0.15">
      <c r="A219" s="244"/>
      <c r="B219" s="248"/>
      <c r="C219" s="244"/>
      <c r="D219" s="244"/>
      <c r="E219" s="244"/>
      <c r="F219" s="244"/>
      <c r="G219" s="244"/>
      <c r="H219" s="244"/>
      <c r="I219" s="244"/>
      <c r="J219" s="244"/>
      <c r="K219" s="244"/>
      <c r="L219" s="244"/>
      <c r="M219" s="244"/>
      <c r="N219" s="244"/>
      <c r="O219" s="244"/>
      <c r="P219" s="244"/>
      <c r="Q219" s="244"/>
      <c r="R219" s="244"/>
      <c r="S219" s="244"/>
      <c r="T219" s="244"/>
      <c r="U219" s="244"/>
      <c r="V219" s="244"/>
      <c r="W219" s="317"/>
      <c r="X219" s="317"/>
    </row>
    <row r="220" spans="1:24" ht="25.5" x14ac:dyDescent="0.15">
      <c r="A220" s="244"/>
      <c r="B220" s="248"/>
      <c r="C220" s="244"/>
      <c r="D220" s="244"/>
      <c r="E220" s="244"/>
      <c r="F220" s="244"/>
      <c r="G220" s="244"/>
      <c r="H220" s="244"/>
      <c r="I220" s="244"/>
      <c r="J220" s="244"/>
      <c r="K220" s="244"/>
      <c r="L220" s="244"/>
      <c r="M220" s="244"/>
      <c r="N220" s="244"/>
      <c r="O220" s="244"/>
      <c r="P220" s="244"/>
      <c r="Q220" s="244"/>
      <c r="R220" s="244"/>
      <c r="S220" s="244"/>
      <c r="T220" s="244"/>
      <c r="U220" s="244"/>
      <c r="V220" s="244"/>
      <c r="W220" s="317"/>
      <c r="X220" s="317"/>
    </row>
    <row r="221" spans="1:24" ht="25.5" x14ac:dyDescent="0.15">
      <c r="A221" s="244"/>
      <c r="B221" s="248"/>
      <c r="C221" s="244"/>
      <c r="D221" s="244"/>
      <c r="E221" s="244"/>
      <c r="F221" s="244"/>
      <c r="G221" s="244"/>
      <c r="H221" s="244"/>
      <c r="I221" s="244"/>
      <c r="J221" s="244"/>
      <c r="K221" s="244"/>
      <c r="L221" s="244"/>
      <c r="M221" s="244"/>
      <c r="N221" s="244"/>
      <c r="O221" s="244"/>
      <c r="P221" s="244"/>
      <c r="Q221" s="244"/>
      <c r="R221" s="244"/>
      <c r="S221" s="244"/>
      <c r="T221" s="244"/>
      <c r="U221" s="244"/>
      <c r="V221" s="244"/>
      <c r="W221" s="317"/>
      <c r="X221" s="317"/>
    </row>
    <row r="222" spans="1:24" ht="25.5" x14ac:dyDescent="0.15">
      <c r="A222" s="244"/>
      <c r="B222" s="248"/>
      <c r="C222" s="244"/>
      <c r="D222" s="244"/>
      <c r="E222" s="244"/>
      <c r="F222" s="244"/>
      <c r="G222" s="244"/>
      <c r="H222" s="244"/>
      <c r="I222" s="244"/>
      <c r="J222" s="244"/>
      <c r="K222" s="244"/>
      <c r="L222" s="244"/>
      <c r="M222" s="244"/>
      <c r="N222" s="244"/>
      <c r="O222" s="244"/>
      <c r="P222" s="244"/>
      <c r="Q222" s="244"/>
      <c r="R222" s="244"/>
      <c r="S222" s="244"/>
      <c r="T222" s="244"/>
      <c r="U222" s="244"/>
      <c r="V222" s="244"/>
      <c r="W222" s="317"/>
      <c r="X222" s="317"/>
    </row>
    <row r="223" spans="1:24" ht="25.5" x14ac:dyDescent="0.15">
      <c r="A223" s="244"/>
      <c r="B223" s="248"/>
      <c r="C223" s="244"/>
      <c r="D223" s="244"/>
      <c r="E223" s="244"/>
      <c r="F223" s="244"/>
      <c r="G223" s="244"/>
      <c r="H223" s="244"/>
      <c r="I223" s="244"/>
      <c r="J223" s="244"/>
      <c r="K223" s="244"/>
      <c r="L223" s="244"/>
      <c r="M223" s="244"/>
      <c r="N223" s="244"/>
      <c r="O223" s="244"/>
      <c r="P223" s="244"/>
      <c r="Q223" s="244"/>
      <c r="R223" s="244"/>
      <c r="S223" s="244"/>
      <c r="T223" s="244"/>
      <c r="U223" s="244"/>
      <c r="V223" s="244"/>
      <c r="W223" s="317"/>
      <c r="X223" s="317"/>
    </row>
    <row r="224" spans="1:24" ht="25.5" x14ac:dyDescent="0.15">
      <c r="A224" s="244"/>
      <c r="B224" s="248"/>
      <c r="C224" s="244"/>
      <c r="D224" s="244"/>
      <c r="E224" s="244"/>
      <c r="F224" s="244"/>
      <c r="G224" s="244"/>
      <c r="H224" s="244"/>
      <c r="I224" s="244"/>
      <c r="J224" s="244"/>
      <c r="K224" s="244"/>
      <c r="L224" s="244"/>
      <c r="M224" s="244"/>
      <c r="N224" s="244"/>
      <c r="O224" s="244"/>
      <c r="P224" s="244"/>
      <c r="Q224" s="244"/>
      <c r="R224" s="244"/>
      <c r="S224" s="244"/>
      <c r="T224" s="244"/>
      <c r="U224" s="244"/>
      <c r="V224" s="244"/>
      <c r="W224" s="317"/>
      <c r="X224" s="317"/>
    </row>
    <row r="225" spans="1:24" ht="25.5" x14ac:dyDescent="0.15">
      <c r="A225" s="244"/>
      <c r="B225" s="248"/>
      <c r="C225" s="244"/>
      <c r="D225" s="244"/>
      <c r="E225" s="244"/>
      <c r="F225" s="244"/>
      <c r="G225" s="244"/>
      <c r="H225" s="244"/>
      <c r="I225" s="244"/>
      <c r="J225" s="244"/>
      <c r="K225" s="244"/>
      <c r="L225" s="244"/>
      <c r="M225" s="244"/>
      <c r="N225" s="244"/>
      <c r="O225" s="244"/>
      <c r="P225" s="244"/>
      <c r="Q225" s="244"/>
      <c r="R225" s="244"/>
      <c r="S225" s="244"/>
      <c r="T225" s="244"/>
      <c r="U225" s="244"/>
      <c r="V225" s="244"/>
      <c r="W225" s="317"/>
      <c r="X225" s="317"/>
    </row>
    <row r="226" spans="1:24" ht="25.5" x14ac:dyDescent="0.15">
      <c r="A226" s="244"/>
      <c r="B226" s="248"/>
      <c r="C226" s="244"/>
      <c r="D226" s="244"/>
      <c r="E226" s="244"/>
      <c r="F226" s="244"/>
      <c r="G226" s="244"/>
      <c r="H226" s="244"/>
      <c r="I226" s="244"/>
      <c r="J226" s="244"/>
      <c r="K226" s="244"/>
      <c r="L226" s="244"/>
      <c r="M226" s="244"/>
      <c r="N226" s="244"/>
      <c r="O226" s="244"/>
      <c r="P226" s="244"/>
      <c r="Q226" s="244"/>
      <c r="R226" s="244"/>
      <c r="S226" s="244"/>
      <c r="T226" s="244"/>
      <c r="U226" s="244"/>
      <c r="V226" s="244"/>
      <c r="W226" s="317"/>
      <c r="X226" s="317"/>
    </row>
    <row r="227" spans="1:24" ht="25.5" x14ac:dyDescent="0.15">
      <c r="A227" s="244"/>
      <c r="B227" s="248"/>
      <c r="C227" s="244"/>
      <c r="D227" s="244"/>
      <c r="E227" s="244"/>
      <c r="F227" s="244"/>
      <c r="G227" s="244"/>
      <c r="H227" s="244"/>
      <c r="I227" s="244"/>
      <c r="J227" s="244"/>
      <c r="K227" s="244"/>
      <c r="L227" s="244"/>
      <c r="M227" s="244"/>
      <c r="N227" s="244"/>
      <c r="O227" s="244"/>
      <c r="P227" s="244"/>
      <c r="Q227" s="244"/>
      <c r="R227" s="244"/>
      <c r="S227" s="244"/>
      <c r="T227" s="244"/>
      <c r="U227" s="244"/>
      <c r="V227" s="244"/>
      <c r="W227" s="317"/>
      <c r="X227" s="317"/>
    </row>
    <row r="228" spans="1:24" ht="25.5" x14ac:dyDescent="0.15">
      <c r="A228" s="244"/>
      <c r="B228" s="248"/>
      <c r="C228" s="244"/>
      <c r="D228" s="244"/>
      <c r="E228" s="244"/>
      <c r="F228" s="244"/>
      <c r="G228" s="244"/>
      <c r="H228" s="244"/>
      <c r="I228" s="244"/>
      <c r="J228" s="244"/>
      <c r="K228" s="244"/>
      <c r="L228" s="244"/>
      <c r="M228" s="244"/>
      <c r="N228" s="244"/>
      <c r="O228" s="244"/>
      <c r="P228" s="244"/>
      <c r="Q228" s="244"/>
      <c r="R228" s="244"/>
      <c r="S228" s="244"/>
      <c r="T228" s="244"/>
      <c r="U228" s="244"/>
      <c r="V228" s="244"/>
      <c r="W228" s="317"/>
      <c r="X228" s="317"/>
    </row>
    <row r="229" spans="1:24" ht="25.5" x14ac:dyDescent="0.15">
      <c r="A229" s="244"/>
      <c r="B229" s="248"/>
      <c r="C229" s="244"/>
      <c r="D229" s="244"/>
      <c r="E229" s="244"/>
      <c r="F229" s="244"/>
      <c r="G229" s="244"/>
      <c r="H229" s="244"/>
      <c r="I229" s="244"/>
      <c r="J229" s="244"/>
      <c r="K229" s="244"/>
      <c r="L229" s="244"/>
      <c r="M229" s="244"/>
      <c r="N229" s="244"/>
      <c r="O229" s="244"/>
      <c r="P229" s="244"/>
      <c r="Q229" s="244"/>
      <c r="R229" s="244"/>
      <c r="S229" s="244"/>
      <c r="T229" s="244"/>
      <c r="U229" s="244"/>
      <c r="V229" s="244"/>
      <c r="W229" s="317"/>
      <c r="X229" s="317"/>
    </row>
    <row r="230" spans="1:24" ht="25.5" x14ac:dyDescent="0.15">
      <c r="A230" s="244"/>
      <c r="B230" s="248"/>
      <c r="C230" s="244"/>
      <c r="D230" s="244"/>
      <c r="E230" s="244"/>
      <c r="F230" s="244"/>
      <c r="G230" s="244"/>
      <c r="H230" s="244"/>
      <c r="I230" s="244"/>
      <c r="J230" s="244"/>
      <c r="K230" s="244"/>
      <c r="L230" s="244"/>
      <c r="M230" s="244"/>
      <c r="N230" s="244"/>
      <c r="O230" s="244"/>
      <c r="P230" s="244"/>
      <c r="Q230" s="244"/>
      <c r="R230" s="244"/>
      <c r="S230" s="244"/>
      <c r="T230" s="244"/>
      <c r="U230" s="244"/>
      <c r="V230" s="244"/>
      <c r="W230" s="317"/>
      <c r="X230" s="317"/>
    </row>
    <row r="231" spans="1:24" ht="25.5" x14ac:dyDescent="0.15">
      <c r="A231" s="244"/>
      <c r="B231" s="248"/>
      <c r="C231" s="244"/>
      <c r="D231" s="244"/>
      <c r="E231" s="244"/>
      <c r="F231" s="244"/>
      <c r="G231" s="244"/>
      <c r="H231" s="244"/>
      <c r="I231" s="244"/>
      <c r="J231" s="244"/>
      <c r="K231" s="244"/>
      <c r="L231" s="244"/>
      <c r="M231" s="244"/>
      <c r="N231" s="244"/>
      <c r="O231" s="244"/>
      <c r="P231" s="244"/>
      <c r="Q231" s="244"/>
      <c r="R231" s="244"/>
      <c r="S231" s="244"/>
      <c r="T231" s="244"/>
      <c r="U231" s="244"/>
      <c r="V231" s="244"/>
      <c r="W231" s="317"/>
      <c r="X231" s="317"/>
    </row>
    <row r="232" spans="1:24" ht="25.5" x14ac:dyDescent="0.15">
      <c r="A232" s="244"/>
      <c r="B232" s="248"/>
      <c r="C232" s="244"/>
      <c r="D232" s="244"/>
      <c r="E232" s="244"/>
      <c r="F232" s="244"/>
      <c r="G232" s="244"/>
      <c r="H232" s="244"/>
      <c r="I232" s="244"/>
      <c r="J232" s="244"/>
      <c r="K232" s="244"/>
      <c r="L232" s="244"/>
      <c r="M232" s="244"/>
      <c r="N232" s="244"/>
      <c r="O232" s="244"/>
      <c r="P232" s="244"/>
      <c r="Q232" s="244"/>
      <c r="R232" s="244"/>
      <c r="S232" s="244"/>
      <c r="T232" s="244"/>
      <c r="U232" s="244"/>
      <c r="V232" s="244"/>
      <c r="W232" s="317"/>
      <c r="X232" s="317"/>
    </row>
    <row r="233" spans="1:24" ht="25.5" x14ac:dyDescent="0.15">
      <c r="A233" s="244"/>
      <c r="B233" s="248"/>
      <c r="C233" s="244"/>
      <c r="D233" s="244"/>
      <c r="E233" s="244"/>
      <c r="F233" s="244"/>
      <c r="G233" s="244"/>
      <c r="H233" s="244"/>
      <c r="I233" s="244"/>
      <c r="J233" s="244"/>
      <c r="K233" s="244"/>
      <c r="L233" s="244"/>
      <c r="M233" s="244"/>
      <c r="N233" s="244"/>
      <c r="O233" s="244"/>
      <c r="P233" s="244"/>
      <c r="Q233" s="244"/>
      <c r="R233" s="244"/>
      <c r="S233" s="244"/>
      <c r="T233" s="244"/>
      <c r="U233" s="244"/>
      <c r="V233" s="244"/>
      <c r="W233" s="317"/>
      <c r="X233" s="317"/>
    </row>
    <row r="234" spans="1:24" ht="25.5" x14ac:dyDescent="0.15">
      <c r="A234" s="244"/>
      <c r="B234" s="248"/>
      <c r="C234" s="244"/>
      <c r="D234" s="244"/>
      <c r="E234" s="244"/>
      <c r="F234" s="244"/>
      <c r="G234" s="244"/>
      <c r="H234" s="244"/>
      <c r="I234" s="244"/>
      <c r="J234" s="244"/>
      <c r="K234" s="244"/>
      <c r="L234" s="244"/>
      <c r="M234" s="244"/>
      <c r="N234" s="244"/>
      <c r="O234" s="244"/>
      <c r="P234" s="244"/>
      <c r="Q234" s="244"/>
      <c r="R234" s="244"/>
      <c r="S234" s="244"/>
      <c r="T234" s="244"/>
      <c r="U234" s="244"/>
      <c r="V234" s="244"/>
      <c r="W234" s="317"/>
      <c r="X234" s="317"/>
    </row>
    <row r="235" spans="1:24" ht="25.5" x14ac:dyDescent="0.15">
      <c r="A235" s="244"/>
      <c r="B235" s="248"/>
      <c r="C235" s="244"/>
      <c r="D235" s="244"/>
      <c r="E235" s="244"/>
      <c r="F235" s="244"/>
      <c r="G235" s="244"/>
      <c r="H235" s="244"/>
      <c r="I235" s="244"/>
      <c r="J235" s="244"/>
      <c r="K235" s="244"/>
      <c r="L235" s="244"/>
      <c r="M235" s="244"/>
      <c r="N235" s="244"/>
      <c r="O235" s="244"/>
      <c r="P235" s="244"/>
      <c r="Q235" s="244"/>
      <c r="R235" s="244"/>
      <c r="S235" s="244"/>
      <c r="T235" s="244"/>
      <c r="U235" s="244"/>
      <c r="V235" s="244"/>
      <c r="W235" s="317"/>
      <c r="X235" s="317"/>
    </row>
    <row r="236" spans="1:24" ht="25.5" x14ac:dyDescent="0.15">
      <c r="A236" s="244"/>
      <c r="B236" s="248"/>
      <c r="C236" s="244"/>
      <c r="D236" s="244"/>
      <c r="E236" s="244"/>
      <c r="F236" s="244"/>
      <c r="G236" s="244"/>
      <c r="H236" s="244"/>
      <c r="I236" s="244"/>
      <c r="J236" s="244"/>
      <c r="K236" s="244"/>
      <c r="L236" s="244"/>
      <c r="M236" s="244"/>
      <c r="N236" s="244"/>
      <c r="O236" s="244"/>
      <c r="P236" s="244"/>
      <c r="Q236" s="244"/>
      <c r="R236" s="244"/>
      <c r="S236" s="244"/>
      <c r="T236" s="244"/>
      <c r="U236" s="244"/>
      <c r="V236" s="244"/>
      <c r="W236" s="317"/>
      <c r="X236" s="317"/>
    </row>
    <row r="237" spans="1:24" ht="25.5" x14ac:dyDescent="0.15">
      <c r="A237" s="244"/>
      <c r="B237" s="248"/>
      <c r="C237" s="244"/>
      <c r="D237" s="244"/>
      <c r="E237" s="244"/>
      <c r="F237" s="244"/>
      <c r="G237" s="244"/>
      <c r="H237" s="244"/>
      <c r="I237" s="244"/>
      <c r="J237" s="244"/>
      <c r="K237" s="244"/>
      <c r="L237" s="244"/>
      <c r="M237" s="244"/>
      <c r="N237" s="244"/>
      <c r="O237" s="244"/>
      <c r="P237" s="244"/>
      <c r="Q237" s="244"/>
      <c r="R237" s="244"/>
      <c r="S237" s="244"/>
      <c r="T237" s="244"/>
      <c r="U237" s="244"/>
      <c r="V237" s="244"/>
      <c r="W237" s="317"/>
      <c r="X237" s="317"/>
    </row>
    <row r="238" spans="1:24" ht="25.5" x14ac:dyDescent="0.15">
      <c r="A238" s="244"/>
      <c r="B238" s="248"/>
      <c r="C238" s="244"/>
      <c r="D238" s="244"/>
      <c r="E238" s="244"/>
      <c r="F238" s="244"/>
      <c r="G238" s="244"/>
      <c r="H238" s="244"/>
      <c r="I238" s="244"/>
      <c r="J238" s="244"/>
      <c r="K238" s="244"/>
      <c r="L238" s="244"/>
      <c r="M238" s="244"/>
      <c r="N238" s="244"/>
      <c r="O238" s="244"/>
      <c r="P238" s="244"/>
      <c r="Q238" s="244"/>
      <c r="R238" s="244"/>
      <c r="S238" s="244"/>
      <c r="T238" s="244"/>
      <c r="U238" s="244"/>
      <c r="V238" s="244"/>
      <c r="W238" s="317"/>
      <c r="X238" s="317"/>
    </row>
    <row r="239" spans="1:24" ht="25.5" x14ac:dyDescent="0.15">
      <c r="A239" s="244"/>
      <c r="B239" s="248"/>
      <c r="C239" s="244"/>
      <c r="D239" s="244"/>
      <c r="E239" s="244"/>
      <c r="F239" s="244"/>
      <c r="G239" s="244"/>
      <c r="H239" s="244"/>
      <c r="I239" s="244"/>
      <c r="J239" s="244"/>
      <c r="K239" s="244"/>
      <c r="L239" s="244"/>
      <c r="M239" s="244"/>
      <c r="N239" s="244"/>
      <c r="O239" s="244"/>
      <c r="P239" s="244"/>
      <c r="Q239" s="244"/>
      <c r="R239" s="244"/>
      <c r="S239" s="244"/>
      <c r="T239" s="244"/>
      <c r="U239" s="244"/>
      <c r="V239" s="244"/>
      <c r="W239" s="317"/>
      <c r="X239" s="317"/>
    </row>
    <row r="240" spans="1:24" ht="25.5" x14ac:dyDescent="0.15">
      <c r="A240" s="244"/>
      <c r="B240" s="248"/>
      <c r="C240" s="244"/>
      <c r="D240" s="244"/>
      <c r="E240" s="244"/>
      <c r="F240" s="244"/>
      <c r="G240" s="244"/>
      <c r="H240" s="244"/>
      <c r="I240" s="244"/>
      <c r="J240" s="244"/>
      <c r="K240" s="244"/>
      <c r="L240" s="244"/>
      <c r="M240" s="244"/>
      <c r="N240" s="244"/>
      <c r="O240" s="244"/>
      <c r="P240" s="244"/>
      <c r="Q240" s="244"/>
      <c r="R240" s="244"/>
      <c r="S240" s="244"/>
      <c r="T240" s="244"/>
      <c r="U240" s="244"/>
      <c r="V240" s="244"/>
      <c r="W240" s="317"/>
      <c r="X240" s="317"/>
    </row>
    <row r="241" spans="1:24" ht="25.5" x14ac:dyDescent="0.15">
      <c r="A241" s="244"/>
      <c r="B241" s="248"/>
      <c r="C241" s="244"/>
      <c r="D241" s="244"/>
      <c r="E241" s="244"/>
      <c r="F241" s="244"/>
      <c r="G241" s="244"/>
      <c r="H241" s="244"/>
      <c r="I241" s="244"/>
      <c r="J241" s="244"/>
      <c r="K241" s="244"/>
      <c r="L241" s="244"/>
      <c r="M241" s="244"/>
      <c r="N241" s="244"/>
      <c r="O241" s="244"/>
      <c r="P241" s="244"/>
      <c r="Q241" s="244"/>
      <c r="R241" s="244"/>
      <c r="S241" s="244"/>
      <c r="T241" s="244"/>
      <c r="U241" s="244"/>
      <c r="V241" s="244"/>
      <c r="W241" s="317"/>
      <c r="X241" s="317"/>
    </row>
    <row r="242" spans="1:24" ht="25.5" x14ac:dyDescent="0.15">
      <c r="A242" s="244"/>
      <c r="B242" s="248"/>
      <c r="C242" s="244"/>
      <c r="D242" s="244"/>
      <c r="E242" s="244"/>
      <c r="F242" s="244"/>
      <c r="G242" s="244"/>
      <c r="H242" s="244"/>
      <c r="I242" s="244"/>
      <c r="J242" s="244"/>
      <c r="K242" s="244"/>
      <c r="L242" s="244"/>
      <c r="M242" s="244"/>
      <c r="N242" s="244"/>
      <c r="O242" s="244"/>
      <c r="P242" s="244"/>
      <c r="Q242" s="244"/>
      <c r="R242" s="244"/>
      <c r="S242" s="244"/>
      <c r="T242" s="244"/>
      <c r="U242" s="244"/>
      <c r="V242" s="244"/>
      <c r="W242" s="317"/>
      <c r="X242" s="317"/>
    </row>
    <row r="243" spans="1:24" ht="25.5" x14ac:dyDescent="0.15">
      <c r="A243" s="244"/>
      <c r="B243" s="248"/>
      <c r="C243" s="244"/>
      <c r="D243" s="244"/>
      <c r="E243" s="244"/>
      <c r="F243" s="244"/>
      <c r="G243" s="244"/>
      <c r="H243" s="244"/>
      <c r="I243" s="244"/>
      <c r="J243" s="244"/>
      <c r="K243" s="244"/>
      <c r="L243" s="244"/>
      <c r="M243" s="244"/>
      <c r="N243" s="244"/>
      <c r="O243" s="244"/>
      <c r="P243" s="244"/>
      <c r="Q243" s="244"/>
      <c r="R243" s="244"/>
      <c r="S243" s="244"/>
      <c r="T243" s="244"/>
      <c r="U243" s="244"/>
      <c r="V243" s="244"/>
      <c r="W243" s="317"/>
      <c r="X243" s="317"/>
    </row>
    <row r="244" spans="1:24" ht="25.5" x14ac:dyDescent="0.15">
      <c r="A244" s="244"/>
      <c r="B244" s="248"/>
      <c r="C244" s="244"/>
      <c r="D244" s="244"/>
      <c r="E244" s="244"/>
      <c r="F244" s="244"/>
      <c r="G244" s="244"/>
      <c r="H244" s="244"/>
      <c r="I244" s="244"/>
      <c r="J244" s="244"/>
      <c r="K244" s="244"/>
      <c r="L244" s="244"/>
      <c r="M244" s="244"/>
      <c r="N244" s="244"/>
      <c r="O244" s="244"/>
      <c r="P244" s="244"/>
      <c r="Q244" s="244"/>
      <c r="R244" s="244"/>
      <c r="S244" s="244"/>
      <c r="T244" s="244"/>
      <c r="U244" s="244"/>
      <c r="V244" s="244"/>
      <c r="W244" s="317"/>
      <c r="X244" s="317"/>
    </row>
    <row r="245" spans="1:24" ht="25.5" x14ac:dyDescent="0.15">
      <c r="A245" s="244"/>
      <c r="B245" s="248"/>
      <c r="C245" s="244"/>
      <c r="D245" s="244"/>
      <c r="E245" s="244"/>
      <c r="F245" s="244"/>
      <c r="G245" s="244"/>
      <c r="H245" s="244"/>
      <c r="I245" s="244"/>
      <c r="J245" s="244"/>
      <c r="K245" s="244"/>
      <c r="L245" s="244"/>
      <c r="M245" s="244"/>
      <c r="N245" s="244"/>
      <c r="O245" s="244"/>
      <c r="P245" s="244"/>
      <c r="Q245" s="244"/>
      <c r="R245" s="244"/>
      <c r="S245" s="244"/>
      <c r="T245" s="244"/>
      <c r="U245" s="244"/>
      <c r="V245" s="244"/>
      <c r="W245" s="317"/>
      <c r="X245" s="317"/>
    </row>
    <row r="246" spans="1:24" ht="25.5" x14ac:dyDescent="0.15">
      <c r="A246" s="244"/>
      <c r="B246" s="248"/>
      <c r="C246" s="244"/>
      <c r="D246" s="244"/>
      <c r="E246" s="244"/>
      <c r="F246" s="244"/>
      <c r="G246" s="244"/>
      <c r="H246" s="244"/>
      <c r="I246" s="244"/>
      <c r="J246" s="244"/>
      <c r="K246" s="244"/>
      <c r="L246" s="244"/>
      <c r="M246" s="244"/>
      <c r="N246" s="244"/>
      <c r="O246" s="244"/>
      <c r="P246" s="244"/>
      <c r="Q246" s="244"/>
      <c r="R246" s="244"/>
      <c r="S246" s="244"/>
      <c r="T246" s="244"/>
      <c r="U246" s="244"/>
      <c r="V246" s="244"/>
      <c r="W246" s="317"/>
      <c r="X246" s="317"/>
    </row>
    <row r="247" spans="1:24" ht="25.5" x14ac:dyDescent="0.15">
      <c r="A247" s="244"/>
      <c r="B247" s="248"/>
      <c r="C247" s="244"/>
      <c r="D247" s="244"/>
      <c r="E247" s="244"/>
      <c r="F247" s="244"/>
      <c r="G247" s="244"/>
      <c r="H247" s="244"/>
      <c r="I247" s="244"/>
      <c r="J247" s="244"/>
      <c r="K247" s="244"/>
      <c r="L247" s="244"/>
      <c r="M247" s="244"/>
      <c r="N247" s="244"/>
      <c r="O247" s="244"/>
      <c r="P247" s="244"/>
      <c r="Q247" s="244"/>
      <c r="R247" s="244"/>
      <c r="S247" s="244"/>
      <c r="T247" s="244"/>
      <c r="U247" s="244"/>
      <c r="V247" s="244"/>
      <c r="W247" s="317"/>
      <c r="X247" s="317"/>
    </row>
    <row r="248" spans="1:24" ht="25.5" x14ac:dyDescent="0.15">
      <c r="A248" s="244"/>
      <c r="B248" s="248"/>
      <c r="C248" s="244"/>
      <c r="D248" s="244"/>
      <c r="E248" s="244"/>
      <c r="F248" s="244"/>
      <c r="G248" s="244"/>
      <c r="H248" s="244"/>
      <c r="I248" s="244"/>
      <c r="J248" s="244"/>
      <c r="K248" s="244"/>
      <c r="L248" s="244"/>
      <c r="M248" s="244"/>
      <c r="N248" s="244"/>
      <c r="O248" s="244"/>
      <c r="P248" s="244"/>
      <c r="Q248" s="244"/>
      <c r="R248" s="244"/>
      <c r="S248" s="244"/>
      <c r="T248" s="244"/>
      <c r="U248" s="244"/>
      <c r="V248" s="244"/>
      <c r="W248" s="317"/>
      <c r="X248" s="317"/>
    </row>
    <row r="249" spans="1:24" ht="25.5" x14ac:dyDescent="0.15">
      <c r="A249" s="244"/>
      <c r="B249" s="248"/>
      <c r="C249" s="244"/>
      <c r="D249" s="244"/>
      <c r="E249" s="244"/>
      <c r="F249" s="244"/>
      <c r="G249" s="244"/>
      <c r="H249" s="244"/>
      <c r="I249" s="244"/>
      <c r="J249" s="244"/>
      <c r="K249" s="244"/>
      <c r="L249" s="244"/>
      <c r="M249" s="244"/>
      <c r="N249" s="244"/>
      <c r="O249" s="244"/>
      <c r="P249" s="244"/>
      <c r="Q249" s="244"/>
      <c r="R249" s="244"/>
      <c r="S249" s="244"/>
      <c r="T249" s="244"/>
      <c r="U249" s="244"/>
      <c r="V249" s="244"/>
      <c r="W249" s="317"/>
      <c r="X249" s="317"/>
    </row>
    <row r="250" spans="1:24" ht="25.5" x14ac:dyDescent="0.15">
      <c r="A250" s="244"/>
      <c r="B250" s="248"/>
      <c r="C250" s="244"/>
      <c r="D250" s="244"/>
      <c r="E250" s="244"/>
      <c r="F250" s="244"/>
      <c r="G250" s="244"/>
      <c r="H250" s="244"/>
      <c r="I250" s="244"/>
      <c r="J250" s="244"/>
      <c r="K250" s="244"/>
      <c r="L250" s="244"/>
      <c r="M250" s="244"/>
      <c r="N250" s="244"/>
      <c r="O250" s="244"/>
      <c r="P250" s="244"/>
      <c r="Q250" s="244"/>
      <c r="R250" s="244"/>
      <c r="S250" s="244"/>
      <c r="T250" s="244"/>
      <c r="U250" s="244"/>
      <c r="V250" s="244"/>
      <c r="W250" s="317"/>
      <c r="X250" s="317"/>
    </row>
    <row r="251" spans="1:24" ht="25.5" x14ac:dyDescent="0.15">
      <c r="A251" s="244"/>
      <c r="B251" s="248"/>
      <c r="C251" s="244"/>
      <c r="D251" s="244"/>
      <c r="E251" s="244"/>
      <c r="F251" s="244"/>
      <c r="G251" s="244"/>
      <c r="H251" s="244"/>
      <c r="I251" s="244"/>
      <c r="J251" s="244"/>
      <c r="K251" s="244"/>
      <c r="L251" s="244"/>
      <c r="M251" s="244"/>
      <c r="N251" s="244"/>
      <c r="O251" s="244"/>
      <c r="P251" s="244"/>
      <c r="Q251" s="244"/>
      <c r="R251" s="244"/>
      <c r="S251" s="244"/>
      <c r="T251" s="244"/>
      <c r="U251" s="244"/>
      <c r="V251" s="244"/>
      <c r="W251" s="317"/>
      <c r="X251" s="317"/>
    </row>
    <row r="252" spans="1:24" ht="25.5" x14ac:dyDescent="0.15">
      <c r="A252" s="244"/>
      <c r="B252" s="248"/>
      <c r="C252" s="244"/>
      <c r="D252" s="244"/>
      <c r="E252" s="244"/>
      <c r="F252" s="244"/>
      <c r="G252" s="244"/>
      <c r="H252" s="244"/>
      <c r="I252" s="244"/>
      <c r="J252" s="244"/>
      <c r="K252" s="244"/>
      <c r="L252" s="244"/>
      <c r="M252" s="244"/>
      <c r="N252" s="244"/>
      <c r="O252" s="244"/>
      <c r="P252" s="244"/>
      <c r="Q252" s="244"/>
      <c r="R252" s="244"/>
      <c r="S252" s="244"/>
      <c r="T252" s="244"/>
      <c r="U252" s="244"/>
      <c r="V252" s="244"/>
      <c r="W252" s="317"/>
      <c r="X252" s="317"/>
    </row>
    <row r="253" spans="1:24" ht="25.5" x14ac:dyDescent="0.15">
      <c r="A253" s="244"/>
      <c r="B253" s="248"/>
      <c r="C253" s="244"/>
      <c r="D253" s="244"/>
      <c r="E253" s="244"/>
      <c r="F253" s="244"/>
      <c r="G253" s="244"/>
      <c r="H253" s="244"/>
      <c r="I253" s="244"/>
      <c r="J253" s="244"/>
      <c r="K253" s="244"/>
      <c r="L253" s="244"/>
      <c r="M253" s="244"/>
      <c r="N253" s="244"/>
      <c r="O253" s="244"/>
      <c r="P253" s="244"/>
      <c r="Q253" s="244"/>
      <c r="R253" s="244"/>
      <c r="S253" s="244"/>
      <c r="T253" s="244"/>
      <c r="U253" s="244"/>
      <c r="V253" s="244"/>
      <c r="W253" s="317"/>
      <c r="X253" s="317"/>
    </row>
    <row r="254" spans="1:24" ht="25.5" x14ac:dyDescent="0.15">
      <c r="A254" s="244"/>
      <c r="B254" s="248"/>
      <c r="C254" s="244"/>
      <c r="D254" s="244"/>
      <c r="E254" s="244"/>
      <c r="F254" s="244"/>
      <c r="G254" s="244"/>
      <c r="H254" s="244"/>
      <c r="I254" s="244"/>
      <c r="J254" s="244"/>
      <c r="K254" s="244"/>
      <c r="L254" s="244"/>
      <c r="M254" s="244"/>
      <c r="N254" s="244"/>
      <c r="O254" s="244"/>
      <c r="P254" s="244"/>
      <c r="Q254" s="244"/>
      <c r="R254" s="244"/>
      <c r="S254" s="244"/>
      <c r="T254" s="244"/>
      <c r="U254" s="244"/>
      <c r="V254" s="244"/>
      <c r="W254" s="317"/>
      <c r="X254" s="317"/>
    </row>
    <row r="255" spans="1:24" ht="25.5" x14ac:dyDescent="0.15">
      <c r="A255" s="244"/>
      <c r="B255" s="248"/>
      <c r="C255" s="244"/>
      <c r="D255" s="244"/>
      <c r="E255" s="244"/>
      <c r="F255" s="244"/>
      <c r="G255" s="244"/>
      <c r="H255" s="244"/>
      <c r="I255" s="244"/>
      <c r="J255" s="244"/>
      <c r="K255" s="244"/>
      <c r="L255" s="244"/>
      <c r="M255" s="244"/>
      <c r="N255" s="244"/>
      <c r="O255" s="244"/>
      <c r="P255" s="244"/>
      <c r="Q255" s="244"/>
      <c r="R255" s="244"/>
      <c r="S255" s="244"/>
      <c r="T255" s="244"/>
      <c r="U255" s="244"/>
      <c r="V255" s="244"/>
      <c r="W255" s="317"/>
      <c r="X255" s="317"/>
    </row>
    <row r="256" spans="1:24" ht="25.5" x14ac:dyDescent="0.15">
      <c r="A256" s="244"/>
      <c r="B256" s="248"/>
      <c r="C256" s="244"/>
      <c r="D256" s="244"/>
      <c r="E256" s="244"/>
      <c r="F256" s="244"/>
      <c r="G256" s="244"/>
      <c r="H256" s="244"/>
      <c r="I256" s="244"/>
      <c r="J256" s="244"/>
      <c r="K256" s="244"/>
      <c r="L256" s="244"/>
      <c r="M256" s="244"/>
      <c r="N256" s="244"/>
      <c r="O256" s="244"/>
      <c r="P256" s="244"/>
      <c r="Q256" s="244"/>
      <c r="R256" s="244"/>
      <c r="S256" s="244"/>
      <c r="T256" s="244"/>
      <c r="U256" s="244"/>
      <c r="V256" s="244"/>
      <c r="W256" s="317"/>
      <c r="X256" s="317"/>
    </row>
    <row r="257" spans="1:24" ht="25.5" x14ac:dyDescent="0.15">
      <c r="A257" s="244"/>
      <c r="B257" s="248"/>
      <c r="C257" s="244"/>
      <c r="D257" s="244"/>
      <c r="E257" s="244"/>
      <c r="F257" s="244"/>
      <c r="G257" s="244"/>
      <c r="H257" s="244"/>
      <c r="I257" s="244"/>
      <c r="J257" s="244"/>
      <c r="K257" s="244"/>
      <c r="L257" s="244"/>
      <c r="M257" s="244"/>
      <c r="N257" s="244"/>
      <c r="O257" s="244"/>
      <c r="P257" s="244"/>
      <c r="Q257" s="244"/>
      <c r="R257" s="244"/>
      <c r="S257" s="244"/>
      <c r="T257" s="244"/>
      <c r="U257" s="244"/>
      <c r="V257" s="244"/>
      <c r="W257" s="317"/>
      <c r="X257" s="317"/>
    </row>
    <row r="258" spans="1:24" ht="25.5" x14ac:dyDescent="0.15">
      <c r="A258" s="244"/>
      <c r="B258" s="248"/>
      <c r="C258" s="244"/>
      <c r="D258" s="244"/>
      <c r="E258" s="244"/>
      <c r="F258" s="244"/>
      <c r="G258" s="244"/>
      <c r="H258" s="244"/>
      <c r="I258" s="244"/>
      <c r="J258" s="244"/>
      <c r="K258" s="244"/>
      <c r="L258" s="244"/>
      <c r="M258" s="244"/>
      <c r="N258" s="244"/>
      <c r="O258" s="244"/>
      <c r="P258" s="244"/>
      <c r="Q258" s="244"/>
      <c r="R258" s="244"/>
      <c r="S258" s="244"/>
      <c r="T258" s="244"/>
      <c r="U258" s="244"/>
      <c r="V258" s="244"/>
      <c r="W258" s="317"/>
      <c r="X258" s="317"/>
    </row>
    <row r="259" spans="1:24" ht="25.5" x14ac:dyDescent="0.15">
      <c r="A259" s="244"/>
      <c r="B259" s="248"/>
      <c r="C259" s="244"/>
      <c r="D259" s="244"/>
      <c r="E259" s="244"/>
      <c r="F259" s="244"/>
      <c r="G259" s="244"/>
      <c r="H259" s="244"/>
      <c r="I259" s="244"/>
      <c r="J259" s="244"/>
      <c r="K259" s="244"/>
      <c r="L259" s="244"/>
      <c r="M259" s="244"/>
      <c r="N259" s="244"/>
      <c r="O259" s="244"/>
      <c r="P259" s="244"/>
      <c r="Q259" s="244"/>
      <c r="R259" s="244"/>
      <c r="S259" s="244"/>
      <c r="T259" s="244"/>
      <c r="U259" s="244"/>
      <c r="V259" s="244"/>
      <c r="W259" s="317"/>
      <c r="X259" s="317"/>
    </row>
    <row r="260" spans="1:24" ht="25.5" x14ac:dyDescent="0.15">
      <c r="A260" s="244"/>
      <c r="B260" s="248"/>
      <c r="C260" s="244"/>
      <c r="D260" s="244"/>
      <c r="E260" s="244"/>
      <c r="F260" s="244"/>
      <c r="G260" s="244"/>
      <c r="H260" s="244"/>
      <c r="I260" s="244"/>
      <c r="J260" s="244"/>
      <c r="K260" s="244"/>
      <c r="L260" s="244"/>
      <c r="M260" s="244"/>
      <c r="N260" s="244"/>
      <c r="O260" s="244"/>
      <c r="P260" s="244"/>
      <c r="Q260" s="244"/>
      <c r="R260" s="244"/>
      <c r="S260" s="244"/>
      <c r="T260" s="244"/>
      <c r="U260" s="244"/>
      <c r="V260" s="244"/>
      <c r="W260" s="317"/>
      <c r="X260" s="317"/>
    </row>
    <row r="261" spans="1:24" ht="25.5" x14ac:dyDescent="0.15">
      <c r="A261" s="244"/>
      <c r="B261" s="248"/>
      <c r="C261" s="244"/>
      <c r="D261" s="244"/>
      <c r="E261" s="244"/>
      <c r="F261" s="244"/>
      <c r="G261" s="244"/>
      <c r="H261" s="244"/>
      <c r="I261" s="244"/>
      <c r="J261" s="244"/>
      <c r="K261" s="244"/>
      <c r="L261" s="244"/>
      <c r="M261" s="244"/>
      <c r="N261" s="244"/>
      <c r="O261" s="244"/>
      <c r="P261" s="244"/>
      <c r="Q261" s="244"/>
      <c r="R261" s="244"/>
      <c r="S261" s="244"/>
      <c r="T261" s="244"/>
      <c r="U261" s="244"/>
      <c r="V261" s="244"/>
      <c r="W261" s="317"/>
      <c r="X261" s="317"/>
    </row>
    <row r="262" spans="1:24" ht="25.5" x14ac:dyDescent="0.15">
      <c r="A262" s="244"/>
      <c r="B262" s="248"/>
      <c r="C262" s="244"/>
      <c r="D262" s="244"/>
      <c r="E262" s="244"/>
      <c r="F262" s="244"/>
      <c r="G262" s="244"/>
      <c r="H262" s="244"/>
      <c r="I262" s="244"/>
      <c r="J262" s="244"/>
      <c r="K262" s="244"/>
      <c r="L262" s="244"/>
      <c r="M262" s="244"/>
      <c r="N262" s="244"/>
      <c r="O262" s="244"/>
      <c r="P262" s="244"/>
      <c r="Q262" s="244"/>
      <c r="R262" s="244"/>
      <c r="S262" s="244"/>
      <c r="T262" s="244"/>
      <c r="U262" s="244"/>
      <c r="V262" s="244"/>
      <c r="W262" s="317"/>
      <c r="X262" s="317"/>
    </row>
    <row r="263" spans="1:24" ht="25.5" x14ac:dyDescent="0.15">
      <c r="A263" s="244"/>
      <c r="B263" s="248"/>
      <c r="C263" s="244"/>
      <c r="D263" s="244"/>
      <c r="E263" s="244"/>
      <c r="F263" s="244"/>
      <c r="G263" s="244"/>
      <c r="H263" s="244"/>
      <c r="I263" s="244"/>
      <c r="J263" s="244"/>
      <c r="K263" s="244"/>
      <c r="L263" s="244"/>
      <c r="M263" s="244"/>
      <c r="N263" s="244"/>
      <c r="O263" s="244"/>
      <c r="P263" s="244"/>
      <c r="Q263" s="244"/>
      <c r="R263" s="244"/>
      <c r="S263" s="244"/>
      <c r="T263" s="244"/>
      <c r="U263" s="244"/>
      <c r="V263" s="244"/>
      <c r="W263" s="317"/>
      <c r="X263" s="317"/>
    </row>
    <row r="264" spans="1:24" ht="25.5" x14ac:dyDescent="0.15">
      <c r="A264" s="244"/>
      <c r="B264" s="248"/>
      <c r="C264" s="244"/>
      <c r="D264" s="244"/>
      <c r="E264" s="244"/>
      <c r="F264" s="244"/>
      <c r="G264" s="244"/>
      <c r="H264" s="244"/>
      <c r="I264" s="244"/>
      <c r="J264" s="244"/>
      <c r="K264" s="244"/>
      <c r="L264" s="244"/>
      <c r="M264" s="244"/>
      <c r="N264" s="244"/>
      <c r="O264" s="244"/>
      <c r="P264" s="244"/>
      <c r="Q264" s="244"/>
      <c r="R264" s="244"/>
      <c r="S264" s="244"/>
      <c r="T264" s="244"/>
      <c r="U264" s="244"/>
      <c r="V264" s="244"/>
      <c r="W264" s="317"/>
      <c r="X264" s="317"/>
    </row>
    <row r="265" spans="1:24" ht="25.5" x14ac:dyDescent="0.15">
      <c r="A265" s="244"/>
      <c r="B265" s="248"/>
      <c r="C265" s="244"/>
      <c r="D265" s="244"/>
      <c r="E265" s="244"/>
      <c r="F265" s="244"/>
      <c r="G265" s="244"/>
      <c r="H265" s="244"/>
      <c r="I265" s="244"/>
      <c r="J265" s="244"/>
      <c r="K265" s="244"/>
      <c r="L265" s="244"/>
      <c r="M265" s="244"/>
      <c r="N265" s="244"/>
      <c r="O265" s="244"/>
      <c r="P265" s="244"/>
      <c r="Q265" s="244"/>
      <c r="R265" s="244"/>
      <c r="S265" s="244"/>
      <c r="T265" s="244"/>
      <c r="U265" s="244"/>
      <c r="V265" s="244"/>
      <c r="W265" s="317"/>
      <c r="X265" s="317"/>
    </row>
    <row r="266" spans="1:24" ht="25.5" x14ac:dyDescent="0.15">
      <c r="A266" s="244"/>
      <c r="B266" s="248"/>
      <c r="C266" s="244"/>
      <c r="D266" s="244"/>
      <c r="E266" s="244"/>
      <c r="F266" s="244"/>
      <c r="G266" s="244"/>
      <c r="H266" s="244"/>
      <c r="I266" s="244"/>
      <c r="J266" s="244"/>
      <c r="K266" s="244"/>
      <c r="L266" s="244"/>
      <c r="M266" s="244"/>
      <c r="N266" s="244"/>
      <c r="O266" s="244"/>
      <c r="P266" s="244"/>
      <c r="Q266" s="244"/>
      <c r="R266" s="244"/>
      <c r="S266" s="244"/>
      <c r="T266" s="244"/>
      <c r="U266" s="244"/>
      <c r="V266" s="244"/>
      <c r="W266" s="317"/>
      <c r="X266" s="317"/>
    </row>
    <row r="267" spans="1:24" ht="25.5" x14ac:dyDescent="0.15">
      <c r="A267" s="244"/>
      <c r="B267" s="248"/>
      <c r="C267" s="244"/>
      <c r="D267" s="244"/>
      <c r="E267" s="244"/>
      <c r="F267" s="244"/>
      <c r="G267" s="244"/>
      <c r="H267" s="244"/>
      <c r="I267" s="244"/>
      <c r="J267" s="244"/>
      <c r="K267" s="244"/>
      <c r="L267" s="244"/>
      <c r="M267" s="244"/>
      <c r="N267" s="244"/>
      <c r="O267" s="244"/>
      <c r="P267" s="244"/>
      <c r="Q267" s="244"/>
      <c r="R267" s="244"/>
      <c r="S267" s="244"/>
      <c r="T267" s="244"/>
      <c r="U267" s="244"/>
      <c r="V267" s="244"/>
      <c r="W267" s="317"/>
      <c r="X267" s="317"/>
    </row>
    <row r="268" spans="1:24" ht="25.5" x14ac:dyDescent="0.15">
      <c r="A268" s="244"/>
      <c r="B268" s="248"/>
      <c r="C268" s="244"/>
      <c r="D268" s="244"/>
      <c r="E268" s="244"/>
      <c r="F268" s="244"/>
      <c r="G268" s="244"/>
      <c r="H268" s="244"/>
      <c r="I268" s="244"/>
      <c r="J268" s="244"/>
      <c r="K268" s="244"/>
      <c r="L268" s="244"/>
      <c r="M268" s="244"/>
      <c r="N268" s="244"/>
      <c r="O268" s="244"/>
      <c r="P268" s="244"/>
      <c r="Q268" s="244"/>
      <c r="R268" s="244"/>
      <c r="S268" s="244"/>
      <c r="T268" s="244"/>
      <c r="U268" s="244"/>
      <c r="V268" s="244"/>
      <c r="W268" s="317"/>
      <c r="X268" s="317"/>
    </row>
    <row r="269" spans="1:24" ht="25.5" x14ac:dyDescent="0.15">
      <c r="A269" s="244"/>
      <c r="B269" s="248"/>
      <c r="C269" s="244"/>
      <c r="D269" s="244"/>
      <c r="E269" s="244"/>
      <c r="F269" s="244"/>
      <c r="G269" s="244"/>
      <c r="H269" s="244"/>
      <c r="I269" s="244"/>
      <c r="J269" s="244"/>
      <c r="K269" s="244"/>
      <c r="L269" s="244"/>
      <c r="M269" s="244"/>
      <c r="N269" s="244"/>
      <c r="O269" s="244"/>
      <c r="P269" s="244"/>
      <c r="Q269" s="244"/>
      <c r="R269" s="244"/>
      <c r="S269" s="244"/>
      <c r="T269" s="244"/>
      <c r="U269" s="244"/>
      <c r="V269" s="244"/>
      <c r="W269" s="317"/>
      <c r="X269" s="317"/>
    </row>
    <row r="270" spans="1:24" ht="25.5" x14ac:dyDescent="0.15">
      <c r="A270" s="244"/>
      <c r="B270" s="248"/>
      <c r="C270" s="244"/>
      <c r="D270" s="244"/>
      <c r="E270" s="244"/>
      <c r="F270" s="244"/>
      <c r="G270" s="244"/>
      <c r="H270" s="244"/>
      <c r="I270" s="244"/>
      <c r="J270" s="244"/>
      <c r="K270" s="244"/>
      <c r="L270" s="244"/>
      <c r="M270" s="244"/>
      <c r="N270" s="244"/>
      <c r="O270" s="244"/>
      <c r="P270" s="244"/>
      <c r="Q270" s="244"/>
      <c r="R270" s="244"/>
      <c r="S270" s="244"/>
      <c r="T270" s="244"/>
      <c r="U270" s="244"/>
      <c r="V270" s="244"/>
      <c r="W270" s="317"/>
      <c r="X270" s="317"/>
    </row>
    <row r="271" spans="1:24" ht="25.5" x14ac:dyDescent="0.15">
      <c r="A271" s="244"/>
      <c r="B271" s="248"/>
      <c r="C271" s="244"/>
      <c r="D271" s="244"/>
      <c r="E271" s="244"/>
      <c r="F271" s="244"/>
      <c r="G271" s="244"/>
      <c r="H271" s="244"/>
      <c r="I271" s="244"/>
      <c r="J271" s="244"/>
      <c r="K271" s="244"/>
      <c r="L271" s="244"/>
      <c r="M271" s="244"/>
      <c r="N271" s="244"/>
      <c r="O271" s="244"/>
      <c r="P271" s="244"/>
      <c r="Q271" s="244"/>
      <c r="R271" s="244"/>
      <c r="S271" s="244"/>
      <c r="T271" s="244"/>
      <c r="U271" s="244"/>
      <c r="V271" s="244"/>
      <c r="W271" s="317"/>
      <c r="X271" s="317"/>
    </row>
    <row r="272" spans="1:24" ht="25.5" x14ac:dyDescent="0.15">
      <c r="A272" s="244"/>
      <c r="B272" s="248"/>
      <c r="C272" s="244"/>
      <c r="D272" s="244"/>
      <c r="E272" s="244"/>
      <c r="F272" s="244"/>
      <c r="G272" s="244"/>
      <c r="H272" s="244"/>
      <c r="I272" s="244"/>
      <c r="J272" s="244"/>
      <c r="K272" s="244"/>
      <c r="L272" s="244"/>
      <c r="M272" s="244"/>
      <c r="N272" s="244"/>
      <c r="O272" s="244"/>
      <c r="P272" s="244"/>
      <c r="Q272" s="244"/>
      <c r="R272" s="244"/>
      <c r="S272" s="244"/>
      <c r="T272" s="244"/>
      <c r="U272" s="244"/>
      <c r="V272" s="244"/>
      <c r="W272" s="317"/>
      <c r="X272" s="317"/>
    </row>
    <row r="273" spans="1:24" ht="25.5" x14ac:dyDescent="0.15">
      <c r="A273" s="244"/>
      <c r="B273" s="248"/>
      <c r="C273" s="244"/>
      <c r="D273" s="244"/>
      <c r="E273" s="244"/>
      <c r="F273" s="244"/>
      <c r="G273" s="244"/>
      <c r="H273" s="244"/>
      <c r="I273" s="244"/>
      <c r="J273" s="244"/>
      <c r="K273" s="244"/>
      <c r="L273" s="244"/>
      <c r="M273" s="244"/>
      <c r="N273" s="244"/>
      <c r="O273" s="244"/>
      <c r="P273" s="244"/>
      <c r="Q273" s="244"/>
      <c r="R273" s="244"/>
      <c r="S273" s="244"/>
      <c r="T273" s="244"/>
      <c r="U273" s="244"/>
      <c r="V273" s="244"/>
      <c r="W273" s="317"/>
      <c r="X273" s="317"/>
    </row>
    <row r="274" spans="1:24" ht="25.5" x14ac:dyDescent="0.15">
      <c r="A274" s="244"/>
      <c r="B274" s="248"/>
      <c r="C274" s="244"/>
      <c r="D274" s="244"/>
      <c r="E274" s="244"/>
      <c r="F274" s="244"/>
      <c r="G274" s="244"/>
      <c r="H274" s="244"/>
      <c r="I274" s="244"/>
      <c r="J274" s="244"/>
      <c r="K274" s="244"/>
      <c r="L274" s="244"/>
      <c r="M274" s="244"/>
      <c r="N274" s="244"/>
      <c r="O274" s="244"/>
      <c r="P274" s="244"/>
      <c r="Q274" s="244"/>
      <c r="R274" s="244"/>
      <c r="S274" s="244"/>
      <c r="T274" s="244"/>
      <c r="U274" s="244"/>
      <c r="V274" s="244"/>
      <c r="W274" s="317"/>
      <c r="X274" s="317"/>
    </row>
    <row r="275" spans="1:24" ht="25.5" x14ac:dyDescent="0.15">
      <c r="A275" s="244"/>
      <c r="B275" s="248"/>
      <c r="C275" s="244"/>
      <c r="D275" s="244"/>
      <c r="E275" s="244"/>
      <c r="F275" s="244"/>
      <c r="G275" s="244"/>
      <c r="H275" s="244"/>
      <c r="I275" s="244"/>
      <c r="J275" s="244"/>
      <c r="K275" s="244"/>
      <c r="L275" s="244"/>
      <c r="M275" s="244"/>
      <c r="N275" s="244"/>
      <c r="O275" s="244"/>
      <c r="P275" s="244"/>
      <c r="Q275" s="244"/>
      <c r="R275" s="244"/>
      <c r="S275" s="244"/>
      <c r="T275" s="244"/>
      <c r="U275" s="244"/>
      <c r="V275" s="244"/>
      <c r="W275" s="317"/>
      <c r="X275" s="317"/>
    </row>
    <row r="276" spans="1:24" ht="25.5" x14ac:dyDescent="0.15">
      <c r="A276" s="244"/>
      <c r="B276" s="248"/>
      <c r="C276" s="244"/>
      <c r="D276" s="244"/>
      <c r="E276" s="244"/>
      <c r="F276" s="244"/>
      <c r="G276" s="244"/>
      <c r="H276" s="244"/>
      <c r="I276" s="244"/>
      <c r="J276" s="244"/>
      <c r="K276" s="244"/>
      <c r="L276" s="244"/>
      <c r="M276" s="244"/>
      <c r="N276" s="244"/>
      <c r="O276" s="244"/>
      <c r="P276" s="244"/>
      <c r="Q276" s="244"/>
      <c r="R276" s="244"/>
      <c r="S276" s="244"/>
      <c r="T276" s="244"/>
      <c r="U276" s="244"/>
      <c r="V276" s="244"/>
      <c r="W276" s="317"/>
      <c r="X276" s="317"/>
    </row>
    <row r="277" spans="1:24" ht="25.5" x14ac:dyDescent="0.15">
      <c r="A277" s="244"/>
      <c r="B277" s="248"/>
      <c r="C277" s="244"/>
      <c r="D277" s="244"/>
      <c r="E277" s="244"/>
      <c r="F277" s="244"/>
      <c r="G277" s="244"/>
      <c r="H277" s="244"/>
      <c r="I277" s="244"/>
      <c r="J277" s="244"/>
      <c r="K277" s="244"/>
      <c r="L277" s="244"/>
      <c r="M277" s="244"/>
      <c r="N277" s="244"/>
      <c r="O277" s="244"/>
      <c r="P277" s="244"/>
      <c r="Q277" s="244"/>
      <c r="R277" s="244"/>
      <c r="S277" s="244"/>
      <c r="T277" s="244"/>
      <c r="U277" s="244"/>
      <c r="V277" s="244"/>
      <c r="W277" s="317"/>
      <c r="X277" s="317"/>
    </row>
    <row r="278" spans="1:24" ht="25.5" x14ac:dyDescent="0.15">
      <c r="A278" s="244"/>
      <c r="B278" s="248"/>
      <c r="C278" s="244"/>
      <c r="D278" s="244"/>
      <c r="E278" s="244"/>
      <c r="F278" s="244"/>
      <c r="G278" s="244"/>
      <c r="H278" s="244"/>
      <c r="I278" s="244"/>
      <c r="J278" s="244"/>
      <c r="K278" s="244"/>
      <c r="L278" s="244"/>
      <c r="M278" s="244"/>
      <c r="N278" s="244"/>
      <c r="O278" s="244"/>
      <c r="P278" s="244"/>
      <c r="Q278" s="244"/>
      <c r="R278" s="244"/>
      <c r="S278" s="244"/>
      <c r="T278" s="244"/>
      <c r="U278" s="244"/>
      <c r="V278" s="244"/>
      <c r="W278" s="317"/>
      <c r="X278" s="317"/>
    </row>
    <row r="279" spans="1:24" ht="25.5" x14ac:dyDescent="0.15">
      <c r="A279" s="244"/>
      <c r="B279" s="248"/>
      <c r="C279" s="244"/>
      <c r="D279" s="244"/>
      <c r="E279" s="244"/>
      <c r="F279" s="244"/>
      <c r="G279" s="244"/>
      <c r="H279" s="244"/>
      <c r="I279" s="244"/>
      <c r="J279" s="244"/>
      <c r="K279" s="244"/>
      <c r="L279" s="244"/>
      <c r="M279" s="244"/>
      <c r="N279" s="244"/>
      <c r="O279" s="244"/>
      <c r="P279" s="244"/>
      <c r="Q279" s="244"/>
      <c r="R279" s="244"/>
      <c r="S279" s="244"/>
      <c r="T279" s="244"/>
      <c r="U279" s="244"/>
      <c r="V279" s="244"/>
      <c r="W279" s="317"/>
      <c r="X279" s="317"/>
    </row>
    <row r="280" spans="1:24" ht="25.5" x14ac:dyDescent="0.15">
      <c r="A280" s="244"/>
      <c r="B280" s="248"/>
      <c r="C280" s="244"/>
      <c r="D280" s="244"/>
      <c r="E280" s="244"/>
      <c r="F280" s="244"/>
      <c r="G280" s="244"/>
      <c r="H280" s="244"/>
      <c r="I280" s="244"/>
      <c r="J280" s="244"/>
      <c r="K280" s="244"/>
      <c r="L280" s="244"/>
      <c r="M280" s="244"/>
      <c r="N280" s="244"/>
      <c r="O280" s="244"/>
      <c r="P280" s="244"/>
      <c r="Q280" s="244"/>
      <c r="R280" s="244"/>
      <c r="S280" s="244"/>
      <c r="T280" s="244"/>
      <c r="U280" s="244"/>
      <c r="V280" s="244"/>
      <c r="W280" s="317"/>
      <c r="X280" s="317"/>
    </row>
    <row r="281" spans="1:24" ht="25.5" x14ac:dyDescent="0.15">
      <c r="A281" s="244"/>
      <c r="B281" s="248"/>
      <c r="C281" s="244"/>
      <c r="D281" s="244"/>
      <c r="E281" s="244"/>
      <c r="F281" s="244"/>
      <c r="G281" s="244"/>
      <c r="H281" s="244"/>
      <c r="I281" s="244"/>
      <c r="J281" s="244"/>
      <c r="K281" s="244"/>
      <c r="L281" s="244"/>
      <c r="M281" s="244"/>
      <c r="N281" s="244"/>
      <c r="O281" s="244"/>
      <c r="P281" s="244"/>
      <c r="Q281" s="244"/>
      <c r="R281" s="244"/>
      <c r="S281" s="244"/>
      <c r="T281" s="244"/>
      <c r="U281" s="244"/>
      <c r="V281" s="244"/>
      <c r="W281" s="317"/>
      <c r="X281" s="317"/>
    </row>
    <row r="282" spans="1:24" ht="25.5" x14ac:dyDescent="0.15">
      <c r="A282" s="244"/>
      <c r="B282" s="248"/>
      <c r="C282" s="244"/>
      <c r="D282" s="241"/>
      <c r="E282" s="241"/>
      <c r="F282" s="241"/>
      <c r="G282" s="244"/>
      <c r="H282" s="244"/>
      <c r="I282" s="244"/>
      <c r="J282" s="244"/>
      <c r="K282" s="244"/>
      <c r="L282" s="244"/>
      <c r="M282" s="244"/>
      <c r="N282" s="244"/>
      <c r="O282" s="244"/>
      <c r="P282" s="244"/>
      <c r="Q282" s="244"/>
      <c r="R282" s="244"/>
      <c r="S282" s="244"/>
      <c r="T282" s="244"/>
      <c r="U282" s="244"/>
      <c r="V282" s="244"/>
      <c r="W282" s="317"/>
      <c r="X282" s="317"/>
    </row>
    <row r="283" spans="1:24" ht="25.5" x14ac:dyDescent="0.15">
      <c r="A283" s="244"/>
      <c r="B283" s="248"/>
      <c r="C283" s="244"/>
      <c r="G283" s="244"/>
      <c r="H283" s="244"/>
      <c r="I283" s="244"/>
      <c r="J283" s="244"/>
      <c r="K283" s="244"/>
      <c r="L283" s="244"/>
      <c r="M283" s="244"/>
      <c r="N283" s="244"/>
      <c r="O283" s="244"/>
      <c r="P283" s="244"/>
      <c r="Q283" s="244"/>
      <c r="R283" s="244"/>
      <c r="S283" s="244"/>
      <c r="T283" s="244"/>
      <c r="U283" s="244"/>
      <c r="V283" s="244"/>
      <c r="W283" s="317"/>
      <c r="X283" s="317"/>
    </row>
    <row r="284" spans="1:24" ht="25.5" x14ac:dyDescent="0.15">
      <c r="A284" s="244"/>
      <c r="B284" s="248"/>
      <c r="C284" s="244"/>
      <c r="G284" s="244"/>
      <c r="H284" s="244"/>
      <c r="I284" s="244"/>
      <c r="J284" s="244"/>
      <c r="K284" s="244"/>
      <c r="L284" s="244"/>
      <c r="M284" s="244"/>
      <c r="N284" s="244"/>
      <c r="O284" s="244"/>
      <c r="P284" s="244"/>
      <c r="Q284" s="244"/>
      <c r="R284" s="244"/>
      <c r="S284" s="244"/>
      <c r="T284" s="244"/>
      <c r="U284" s="244"/>
      <c r="V284" s="244"/>
      <c r="W284" s="317"/>
      <c r="X284" s="317"/>
    </row>
    <row r="285" spans="1:24" ht="25.5" x14ac:dyDescent="0.15">
      <c r="A285" s="244"/>
      <c r="B285" s="248"/>
      <c r="C285" s="244"/>
      <c r="G285" s="244"/>
      <c r="H285" s="244"/>
      <c r="I285" s="244"/>
      <c r="J285" s="244"/>
      <c r="K285" s="244"/>
      <c r="L285" s="244"/>
      <c r="M285" s="244"/>
      <c r="N285" s="244"/>
      <c r="O285" s="244"/>
      <c r="P285" s="244"/>
      <c r="Q285" s="244"/>
      <c r="R285" s="244"/>
      <c r="S285" s="244"/>
      <c r="T285" s="244"/>
      <c r="U285" s="244"/>
      <c r="V285" s="244"/>
      <c r="W285" s="317"/>
      <c r="X285" s="317"/>
    </row>
    <row r="286" spans="1:24" ht="25.5" x14ac:dyDescent="0.15">
      <c r="A286" s="244"/>
      <c r="B286" s="248"/>
      <c r="C286" s="244"/>
      <c r="G286" s="244"/>
      <c r="H286" s="244"/>
      <c r="I286" s="244"/>
      <c r="J286" s="244"/>
      <c r="K286" s="244"/>
      <c r="L286" s="244"/>
      <c r="M286" s="244"/>
      <c r="N286" s="244"/>
      <c r="O286" s="244"/>
      <c r="P286" s="244"/>
      <c r="Q286" s="244"/>
      <c r="R286" s="244"/>
      <c r="S286" s="244"/>
      <c r="T286" s="244"/>
      <c r="U286" s="244"/>
      <c r="V286" s="244"/>
      <c r="W286" s="317"/>
      <c r="X286" s="317"/>
    </row>
    <row r="287" spans="1:24" ht="25.5" x14ac:dyDescent="0.15">
      <c r="A287" s="244"/>
      <c r="B287" s="248"/>
      <c r="C287" s="244"/>
      <c r="G287" s="244"/>
      <c r="H287" s="244"/>
      <c r="I287" s="244"/>
      <c r="J287" s="244"/>
      <c r="K287" s="244"/>
      <c r="L287" s="244"/>
      <c r="M287" s="244"/>
      <c r="N287" s="244"/>
      <c r="O287" s="244"/>
      <c r="P287" s="244"/>
      <c r="Q287" s="244"/>
      <c r="R287" s="244"/>
      <c r="S287" s="244"/>
      <c r="T287" s="244"/>
      <c r="U287" s="244"/>
      <c r="V287" s="244"/>
      <c r="W287" s="317"/>
      <c r="X287" s="317"/>
    </row>
    <row r="288" spans="1:24" ht="25.5" x14ac:dyDescent="0.15">
      <c r="A288" s="244"/>
      <c r="B288" s="248"/>
      <c r="C288" s="244"/>
      <c r="G288" s="244"/>
      <c r="H288" s="244"/>
      <c r="I288" s="244"/>
      <c r="J288" s="244"/>
      <c r="K288" s="244"/>
      <c r="L288" s="244"/>
      <c r="M288" s="244"/>
      <c r="N288" s="244"/>
      <c r="O288" s="244"/>
      <c r="P288" s="244"/>
      <c r="Q288" s="244"/>
      <c r="R288" s="244"/>
      <c r="S288" s="244"/>
      <c r="T288" s="244"/>
      <c r="U288" s="244"/>
      <c r="V288" s="244"/>
      <c r="W288" s="317"/>
      <c r="X288" s="317"/>
    </row>
    <row r="289" spans="1:24" ht="25.5" x14ac:dyDescent="0.15">
      <c r="A289" s="244"/>
      <c r="B289" s="248"/>
      <c r="C289" s="244"/>
      <c r="G289" s="244"/>
      <c r="H289" s="244"/>
      <c r="I289" s="244"/>
      <c r="J289" s="244"/>
      <c r="K289" s="244"/>
      <c r="L289" s="244"/>
      <c r="M289" s="244"/>
      <c r="N289" s="244"/>
      <c r="O289" s="244"/>
      <c r="P289" s="244"/>
      <c r="Q289" s="244"/>
      <c r="R289" s="244"/>
      <c r="S289" s="244"/>
      <c r="T289" s="244"/>
      <c r="U289" s="244"/>
      <c r="V289" s="244"/>
      <c r="W289" s="317"/>
      <c r="X289" s="317"/>
    </row>
    <row r="290" spans="1:24" ht="25.5" x14ac:dyDescent="0.15">
      <c r="A290" s="244"/>
      <c r="B290" s="248"/>
      <c r="C290" s="244"/>
      <c r="G290" s="244"/>
      <c r="H290" s="244"/>
      <c r="I290" s="244"/>
      <c r="J290" s="244"/>
      <c r="K290" s="244"/>
      <c r="L290" s="244"/>
      <c r="M290" s="244"/>
      <c r="N290" s="244"/>
      <c r="O290" s="244"/>
      <c r="P290" s="244"/>
      <c r="Q290" s="244"/>
      <c r="R290" s="244"/>
      <c r="S290" s="244"/>
      <c r="T290" s="244"/>
      <c r="U290" s="244"/>
      <c r="V290" s="244"/>
      <c r="W290" s="317"/>
      <c r="X290" s="317"/>
    </row>
    <row r="291" spans="1:24" ht="25.5" x14ac:dyDescent="0.15">
      <c r="A291" s="244"/>
      <c r="B291" s="248"/>
      <c r="C291" s="244"/>
      <c r="G291" s="244"/>
      <c r="H291" s="244"/>
      <c r="I291" s="244"/>
      <c r="J291" s="244"/>
      <c r="K291" s="244"/>
      <c r="L291" s="244"/>
      <c r="M291" s="244"/>
      <c r="N291" s="244"/>
      <c r="O291" s="244"/>
      <c r="P291" s="244"/>
      <c r="Q291" s="244"/>
      <c r="R291" s="244"/>
      <c r="S291" s="244"/>
      <c r="T291" s="244"/>
      <c r="U291" s="244"/>
      <c r="V291" s="244"/>
      <c r="W291" s="317"/>
      <c r="X291" s="317"/>
    </row>
    <row r="292" spans="1:24" ht="25.5" x14ac:dyDescent="0.15">
      <c r="A292" s="244"/>
      <c r="B292" s="248"/>
      <c r="C292" s="244"/>
      <c r="G292" s="244"/>
      <c r="H292" s="244"/>
      <c r="I292" s="244"/>
      <c r="J292" s="244"/>
      <c r="K292" s="244"/>
      <c r="L292" s="244"/>
      <c r="M292" s="244"/>
      <c r="N292" s="244"/>
      <c r="O292" s="244"/>
      <c r="P292" s="244"/>
      <c r="Q292" s="244"/>
      <c r="R292" s="244"/>
      <c r="S292" s="244"/>
      <c r="T292" s="244"/>
      <c r="U292" s="244"/>
      <c r="V292" s="244"/>
      <c r="W292" s="317"/>
      <c r="X292" s="317"/>
    </row>
    <row r="293" spans="1:24" ht="25.5" x14ac:dyDescent="0.15">
      <c r="A293" s="244"/>
      <c r="B293" s="248"/>
      <c r="C293" s="244"/>
      <c r="G293" s="244"/>
      <c r="H293" s="244"/>
      <c r="I293" s="244"/>
      <c r="J293" s="244"/>
      <c r="K293" s="244"/>
      <c r="L293" s="244"/>
      <c r="M293" s="244"/>
      <c r="N293" s="244"/>
      <c r="O293" s="244"/>
      <c r="P293" s="244"/>
      <c r="Q293" s="244"/>
      <c r="R293" s="244"/>
      <c r="S293" s="244"/>
      <c r="T293" s="244"/>
      <c r="U293" s="244"/>
      <c r="V293" s="244"/>
      <c r="W293" s="317"/>
      <c r="X293" s="317"/>
    </row>
    <row r="294" spans="1:24" ht="25.5" x14ac:dyDescent="0.15">
      <c r="A294" s="244"/>
      <c r="B294" s="248"/>
      <c r="C294" s="244"/>
      <c r="G294" s="244"/>
      <c r="H294" s="244"/>
      <c r="I294" s="244"/>
      <c r="J294" s="244"/>
      <c r="K294" s="244"/>
      <c r="L294" s="244"/>
      <c r="M294" s="244"/>
      <c r="N294" s="244"/>
      <c r="O294" s="244"/>
      <c r="P294" s="244"/>
      <c r="Q294" s="244"/>
      <c r="R294" s="244"/>
      <c r="S294" s="244"/>
      <c r="T294" s="244"/>
      <c r="U294" s="244"/>
      <c r="V294" s="244"/>
      <c r="W294" s="317"/>
      <c r="X294" s="317"/>
    </row>
    <row r="295" spans="1:24" ht="25.5" x14ac:dyDescent="0.15">
      <c r="A295" s="244"/>
      <c r="B295" s="248"/>
      <c r="C295" s="244"/>
      <c r="G295" s="244"/>
      <c r="H295" s="244"/>
      <c r="I295" s="244"/>
      <c r="J295" s="244"/>
      <c r="K295" s="244"/>
      <c r="L295" s="244"/>
      <c r="M295" s="244"/>
      <c r="N295" s="244"/>
      <c r="O295" s="244"/>
      <c r="P295" s="244"/>
      <c r="Q295" s="244"/>
      <c r="R295" s="244"/>
      <c r="S295" s="244"/>
      <c r="T295" s="244"/>
      <c r="U295" s="244"/>
      <c r="V295" s="244"/>
      <c r="W295" s="317"/>
      <c r="X295" s="317"/>
    </row>
    <row r="296" spans="1:24" ht="25.5" x14ac:dyDescent="0.15">
      <c r="A296" s="244"/>
      <c r="B296" s="248"/>
      <c r="C296" s="244"/>
      <c r="G296" s="244"/>
      <c r="H296" s="244"/>
      <c r="I296" s="244"/>
      <c r="J296" s="244"/>
      <c r="K296" s="244"/>
      <c r="L296" s="244"/>
      <c r="M296" s="244"/>
      <c r="N296" s="244"/>
      <c r="O296" s="244"/>
      <c r="P296" s="244"/>
      <c r="Q296" s="244"/>
      <c r="R296" s="244"/>
      <c r="S296" s="244"/>
      <c r="T296" s="244"/>
      <c r="U296" s="244"/>
      <c r="V296" s="244"/>
      <c r="W296" s="317"/>
      <c r="X296" s="317"/>
    </row>
    <row r="297" spans="1:24" ht="25.5" x14ac:dyDescent="0.15">
      <c r="A297" s="244"/>
      <c r="B297" s="248"/>
      <c r="C297" s="244"/>
      <c r="G297" s="244"/>
      <c r="H297" s="244"/>
      <c r="I297" s="244"/>
      <c r="J297" s="244"/>
      <c r="K297" s="244"/>
      <c r="L297" s="244"/>
      <c r="M297" s="244"/>
      <c r="N297" s="244"/>
      <c r="O297" s="244"/>
      <c r="P297" s="244"/>
      <c r="Q297" s="244"/>
      <c r="R297" s="244"/>
      <c r="S297" s="244"/>
      <c r="T297" s="244"/>
      <c r="U297" s="244"/>
      <c r="V297" s="244"/>
      <c r="W297" s="317"/>
      <c r="X297" s="317"/>
    </row>
    <row r="298" spans="1:24" ht="25.5" x14ac:dyDescent="0.15">
      <c r="A298" s="244"/>
      <c r="B298" s="248"/>
      <c r="C298" s="244"/>
      <c r="G298" s="244"/>
      <c r="H298" s="244"/>
      <c r="I298" s="244"/>
      <c r="J298" s="244"/>
      <c r="K298" s="244"/>
      <c r="L298" s="244"/>
      <c r="M298" s="244"/>
      <c r="N298" s="244"/>
      <c r="O298" s="244"/>
      <c r="P298" s="244"/>
      <c r="Q298" s="244"/>
      <c r="R298" s="244"/>
      <c r="S298" s="244"/>
      <c r="T298" s="244"/>
      <c r="U298" s="244"/>
      <c r="V298" s="244"/>
      <c r="W298" s="317"/>
      <c r="X298" s="317"/>
    </row>
    <row r="299" spans="1:24" ht="25.5" x14ac:dyDescent="0.15">
      <c r="A299" s="244"/>
      <c r="B299" s="248"/>
      <c r="C299" s="249"/>
      <c r="G299" s="244"/>
      <c r="H299" s="244"/>
      <c r="I299" s="244"/>
      <c r="J299" s="244"/>
      <c r="K299" s="244"/>
      <c r="L299" s="244"/>
      <c r="M299" s="244"/>
      <c r="N299" s="244"/>
      <c r="O299" s="244"/>
      <c r="P299" s="244"/>
      <c r="Q299" s="244"/>
      <c r="R299" s="244"/>
      <c r="S299" s="244"/>
      <c r="T299" s="244"/>
      <c r="U299" s="244"/>
      <c r="V299" s="244"/>
      <c r="W299" s="317"/>
      <c r="X299" s="317"/>
    </row>
    <row r="300" spans="1:24" x14ac:dyDescent="0.15">
      <c r="B300" s="247"/>
      <c r="C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1"/>
      <c r="R300" s="241"/>
      <c r="S300" s="241"/>
      <c r="T300" s="241"/>
      <c r="U300" s="241"/>
      <c r="V300" s="241"/>
      <c r="W300" s="243"/>
      <c r="X300" s="243"/>
    </row>
  </sheetData>
  <mergeCells count="11">
    <mergeCell ref="W17:X93"/>
    <mergeCell ref="S139:X184"/>
    <mergeCell ref="S97:X135"/>
    <mergeCell ref="S17:T93"/>
    <mergeCell ref="U17:V93"/>
    <mergeCell ref="S15:T15"/>
    <mergeCell ref="U15:V15"/>
    <mergeCell ref="W15:X15"/>
    <mergeCell ref="S16:T16"/>
    <mergeCell ref="U16:V16"/>
    <mergeCell ref="W16:X16"/>
  </mergeCells>
  <phoneticPr fontId="3"/>
  <conditionalFormatting sqref="N147:N148 K147:K148 K154:K155 N154:N155">
    <cfRule type="cellIs" dxfId="3" priority="1" stopIfTrue="1" operator="equal">
      <formula>""""""</formula>
    </cfRule>
  </conditionalFormatting>
  <conditionalFormatting sqref="I141:J149 I151:J151 I153:J156 I158:J159 I161:J161">
    <cfRule type="expression" dxfId="2" priority="2" stopIfTrue="1">
      <formula>$I$140="↓項目固定サンプルNO"</formula>
    </cfRule>
  </conditionalFormatting>
  <conditionalFormatting sqref="L141:M149 L151:M151 L153:M156 L158:M159 L161:M161">
    <cfRule type="expression" dxfId="1" priority="3" stopIfTrue="1">
      <formula>$L$140="↓項目固定サンプルNO"</formula>
    </cfRule>
  </conditionalFormatting>
  <conditionalFormatting sqref="O141:P149 O151:P151 O153:P156 O158:P159 O161:P161">
    <cfRule type="expression" dxfId="0" priority="4" stopIfTrue="1">
      <formula>$O$140="↓項目固定サンプルNO"</formula>
    </cfRule>
  </conditionalFormatting>
  <pageMargins left="0.56999999999999995" right="0.27" top="0.21" bottom="0.19" header="0.19" footer="0.2"/>
  <pageSetup paperSize="9" scale="24" orientation="landscape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16"/>
  <sheetViews>
    <sheetView workbookViewId="0"/>
  </sheetViews>
  <sheetFormatPr defaultRowHeight="13.5" x14ac:dyDescent="0.15"/>
  <cols>
    <col min="1" max="1" width="4.75" style="250" customWidth="1"/>
    <col min="2" max="2" width="14" style="250" customWidth="1"/>
    <col min="3" max="5" width="18.375" style="250" customWidth="1"/>
    <col min="6" max="16384" width="9" style="250"/>
  </cols>
  <sheetData>
    <row r="2" spans="2:5" x14ac:dyDescent="0.15">
      <c r="B2" s="318" t="s">
        <v>352</v>
      </c>
      <c r="C2" s="319" t="str">
        <f>IF(原価試算!D2="","",原価試算!D2)</f>
        <v/>
      </c>
    </row>
    <row r="4" spans="2:5" x14ac:dyDescent="0.15">
      <c r="B4" s="251" t="s">
        <v>308</v>
      </c>
      <c r="C4" s="290" t="str">
        <f>IF(原価試算!I13="","",原価試算!I13)</f>
        <v/>
      </c>
      <c r="D4" s="290" t="str">
        <f>IF(原価試算!L13="","",原価試算!L13)</f>
        <v/>
      </c>
      <c r="E4" s="290" t="str">
        <f>IF(原価試算!O13="","",原価試算!O13)</f>
        <v/>
      </c>
    </row>
    <row r="5" spans="2:5" x14ac:dyDescent="0.15">
      <c r="B5" s="251" t="s">
        <v>353</v>
      </c>
      <c r="C5" s="291" t="str">
        <f>IF(C4="","",ROUNDUP(原価試算!I151,2))</f>
        <v/>
      </c>
      <c r="D5" s="291" t="str">
        <f>IF(D4="","",ROUNDUP(原価試算!L151,2))</f>
        <v/>
      </c>
      <c r="E5" s="291" t="str">
        <f>IF(E4="","",ROUNDUP(原価試算!O151,2))</f>
        <v/>
      </c>
    </row>
    <row r="6" spans="2:5" x14ac:dyDescent="0.15">
      <c r="B6" s="251" t="s">
        <v>299</v>
      </c>
      <c r="C6" s="252" t="str">
        <f>IF(C5="","",原価試算!E149)</f>
        <v/>
      </c>
      <c r="D6" s="290" t="str">
        <f t="shared" ref="D6:E9" si="0">IF(D$4="","",$C6)</f>
        <v/>
      </c>
      <c r="E6" s="290" t="str">
        <f t="shared" si="0"/>
        <v/>
      </c>
    </row>
    <row r="7" spans="2:5" x14ac:dyDescent="0.15">
      <c r="B7" s="251" t="s">
        <v>354</v>
      </c>
      <c r="C7" s="252" t="str">
        <f>IF(C5="","",原価試算!E155)</f>
        <v/>
      </c>
      <c r="D7" s="290" t="str">
        <f t="shared" si="0"/>
        <v/>
      </c>
      <c r="E7" s="290" t="str">
        <f t="shared" si="0"/>
        <v/>
      </c>
    </row>
    <row r="8" spans="2:5" x14ac:dyDescent="0.15">
      <c r="B8" s="251" t="s">
        <v>355</v>
      </c>
      <c r="C8" s="252"/>
      <c r="D8" s="290" t="str">
        <f t="shared" si="0"/>
        <v/>
      </c>
      <c r="E8" s="290" t="str">
        <f t="shared" si="0"/>
        <v/>
      </c>
    </row>
    <row r="9" spans="2:5" x14ac:dyDescent="0.15">
      <c r="B9" s="251" t="s">
        <v>356</v>
      </c>
      <c r="C9" s="252" t="str">
        <f>IF(C5="","",原価試算!E153)</f>
        <v/>
      </c>
      <c r="D9" s="290" t="str">
        <f t="shared" si="0"/>
        <v/>
      </c>
      <c r="E9" s="290" t="str">
        <f t="shared" si="0"/>
        <v/>
      </c>
    </row>
    <row r="10" spans="2:5" x14ac:dyDescent="0.15">
      <c r="B10" s="251" t="s">
        <v>357</v>
      </c>
      <c r="C10" s="252" t="str">
        <f>IF($C$5="","",原価試算!$I$161)</f>
        <v/>
      </c>
      <c r="D10" s="252" t="str">
        <f>IF($D$5="","",原価試算!$L$161)</f>
        <v/>
      </c>
      <c r="E10" s="252" t="str">
        <f>IF($E$5="","",原価試算!$O$161)</f>
        <v/>
      </c>
    </row>
    <row r="11" spans="2:5" x14ac:dyDescent="0.15">
      <c r="B11" s="251" t="s">
        <v>325</v>
      </c>
      <c r="C11" s="252" t="str">
        <f>IF($C$5="","",原価試算!$I$162&amp;原価試算!$J$162)</f>
        <v/>
      </c>
      <c r="D11" s="252" t="str">
        <f>IF($D$5="","",原価試算!$L$162&amp;原価試算!$M$162)</f>
        <v/>
      </c>
      <c r="E11" s="252" t="str">
        <f>IF($E$5="","",原価試算!$O$162&amp;原価試算!$P$162)</f>
        <v/>
      </c>
    </row>
    <row r="12" spans="2:5" x14ac:dyDescent="0.15">
      <c r="B12" s="251" t="s">
        <v>326</v>
      </c>
      <c r="C12" s="252" t="str">
        <f>IF($C$5="","",原価試算!$I$163)</f>
        <v/>
      </c>
      <c r="D12" s="252" t="str">
        <f>IF($D$5="","",原価試算!$L$163)</f>
        <v/>
      </c>
      <c r="E12" s="252" t="str">
        <f>IF($E$5="","",原価試算!$O$163)</f>
        <v/>
      </c>
    </row>
    <row r="13" spans="2:5" x14ac:dyDescent="0.15">
      <c r="B13" s="251" t="s">
        <v>327</v>
      </c>
      <c r="C13" s="252" t="str">
        <f>IF($C$5="","",原価試算!$I$164)</f>
        <v/>
      </c>
      <c r="D13" s="252" t="str">
        <f>IF($D$5="","",原価試算!$L$164)</f>
        <v/>
      </c>
      <c r="E13" s="252" t="str">
        <f>IF($E$5="","",原価試算!$O$164)</f>
        <v/>
      </c>
    </row>
    <row r="14" spans="2:5" x14ac:dyDescent="0.15">
      <c r="B14" s="320" t="s">
        <v>358</v>
      </c>
    </row>
    <row r="15" spans="2:5" x14ac:dyDescent="0.15">
      <c r="B15" s="250" t="s">
        <v>359</v>
      </c>
    </row>
    <row r="16" spans="2:5" x14ac:dyDescent="0.15">
      <c r="B16" s="320" t="s">
        <v>360</v>
      </c>
    </row>
  </sheetData>
  <phoneticPr fontId="3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35"/>
  <sheetViews>
    <sheetView zoomScale="80" workbookViewId="0">
      <selection activeCell="E16" sqref="E16:F16"/>
    </sheetView>
  </sheetViews>
  <sheetFormatPr defaultRowHeight="13.5" x14ac:dyDescent="0.15"/>
  <cols>
    <col min="1" max="1" width="1.5" style="250" customWidth="1"/>
    <col min="2" max="2" width="7.25" style="250" customWidth="1"/>
    <col min="3" max="3" width="3.875" style="250" hidden="1" customWidth="1"/>
    <col min="4" max="4" width="15" style="250" customWidth="1"/>
    <col min="5" max="5" width="60.625" style="250" customWidth="1"/>
    <col min="6" max="6" width="17.375" style="250" customWidth="1"/>
    <col min="7" max="9" width="15.875" style="250" customWidth="1"/>
    <col min="10" max="16384" width="9" style="250"/>
  </cols>
  <sheetData>
    <row r="1" spans="2:9" ht="30" customHeight="1" x14ac:dyDescent="0.15">
      <c r="B1" s="253" t="s">
        <v>300</v>
      </c>
      <c r="C1" s="254"/>
      <c r="D1" s="254"/>
      <c r="E1" s="255" t="s">
        <v>301</v>
      </c>
      <c r="F1" s="255"/>
      <c r="H1" s="306" t="str">
        <f>I1</f>
        <v/>
      </c>
      <c r="I1" s="292" t="str">
        <f>IF(原価試算!I1="","",原価試算!I1)</f>
        <v/>
      </c>
    </row>
    <row r="2" spans="2:9" ht="45" customHeight="1" thickBot="1" x14ac:dyDescent="0.25">
      <c r="B2" s="257" t="s">
        <v>302</v>
      </c>
      <c r="D2" s="258" t="str">
        <f>IF(原価試算!D2="","",原価試算!D2)</f>
        <v/>
      </c>
      <c r="E2" s="256"/>
      <c r="F2" s="256"/>
      <c r="G2" s="256"/>
      <c r="H2" s="256"/>
      <c r="I2" s="256"/>
    </row>
    <row r="3" spans="2:9" ht="15.75" customHeight="1" thickTop="1" thickBot="1" x14ac:dyDescent="0.2"/>
    <row r="4" spans="2:9" ht="14.25" customHeight="1" x14ac:dyDescent="0.15">
      <c r="B4" s="261" t="s">
        <v>373</v>
      </c>
      <c r="F4" s="259" t="s">
        <v>327</v>
      </c>
      <c r="G4" s="349" t="str">
        <f>IF(原価試算!$I$164="","",原価試算!$I$164)</f>
        <v/>
      </c>
      <c r="H4" s="345" t="str">
        <f>IF(原価試算!$L$164="","",原価試算!$L$164)</f>
        <v/>
      </c>
      <c r="I4" s="346" t="str">
        <f>IF(原価試算!$O$164="","",原価試算!$O$164)</f>
        <v/>
      </c>
    </row>
    <row r="5" spans="2:9" ht="15" customHeight="1" thickBot="1" x14ac:dyDescent="0.2">
      <c r="B5" s="261" t="s">
        <v>303</v>
      </c>
      <c r="F5" s="260" t="s">
        <v>369</v>
      </c>
      <c r="G5" s="350" t="str">
        <f>IF(原価試算!$I$162="","",IF(COUNTIF(原価試算!$J$162,"*t*"),原価試算!$I$162*1000,IF(COUNTIF(原価試算!$J$162,"*ケース*"),原価試算!$I$162*原価試算!$I$142/1000,IF(COUNTIF(原価試算!$J$162,"*個*"),原価試算!$I$162*原価試算!$E$152/1000,原価試算!$I$162))))</f>
        <v/>
      </c>
      <c r="H5" s="347" t="str">
        <f>IF(原価試算!$L$162="","",IF(COUNTIF(原価試算!$M$162,"*t*"),原価試算!$L$162*1000,IF(COUNTIF(原価試算!$M$162,"*ケース*"),原価試算!$L$162*原価試算!$I$142/1000,IF(COUNTIF(原価試算!$M$162,"*個*"),原価試算!$L$162*原価試算!$E$152/1000,原価試算!$L$162))))</f>
        <v/>
      </c>
      <c r="I5" s="348" t="str">
        <f>IF(原価試算!$O$162="","",IF(COUNTIF(原価試算!$P$162,"*t*"),原価試算!$O$162*1000,IF(COUNTIF(原価試算!$P$162,"*ケース*"),原価試算!$O$162*原価試算!$I$142/1000,IF(COUNTIF(原価試算!$P$162,"*個*"),原価試算!$O$162*原価試算!$E$152/1000,原価試算!$O$162))))</f>
        <v/>
      </c>
    </row>
    <row r="6" spans="2:9" ht="14.25" thickBot="1" x14ac:dyDescent="0.2">
      <c r="F6" s="344"/>
      <c r="G6" s="353" t="str">
        <f>IF(原価試算!$J$162="","",RIGHT(原価試算!$J$162,(LEN(原価試算!$J$162) - SEARCH("/",原価試算!$J$162,1)+1)))</f>
        <v/>
      </c>
      <c r="H6" s="352" t="str">
        <f>IF(原価試算!$M$162="","",RIGHT(原価試算!$M$162,(LEN(原価試算!$M$162) - SEARCH("/",原価試算!$M$162,1)+1)))</f>
        <v/>
      </c>
      <c r="I6" s="351" t="str">
        <f>IF(原価試算!$P$162="","",RIGHT(原価試算!$P$162,(LEN(原価試算!$P$162) - SEARCH("/",原価試算!$P$162,1)+1)))</f>
        <v/>
      </c>
    </row>
    <row r="7" spans="2:9" hidden="1" x14ac:dyDescent="0.15"/>
    <row r="8" spans="2:9" hidden="1" x14ac:dyDescent="0.15"/>
    <row r="9" spans="2:9" hidden="1" x14ac:dyDescent="0.15"/>
    <row r="10" spans="2:9" hidden="1" x14ac:dyDescent="0.15"/>
    <row r="11" spans="2:9" hidden="1" x14ac:dyDescent="0.15"/>
    <row r="12" spans="2:9" ht="15" customHeight="1" thickBot="1" x14ac:dyDescent="0.2">
      <c r="B12" s="250" t="s">
        <v>304</v>
      </c>
    </row>
    <row r="13" spans="2:9" ht="15.75" customHeight="1" x14ac:dyDescent="0.15">
      <c r="B13" s="262"/>
      <c r="C13" s="263" t="s">
        <v>305</v>
      </c>
      <c r="D13" s="264" t="s">
        <v>306</v>
      </c>
      <c r="E13" s="480" t="s">
        <v>307</v>
      </c>
      <c r="F13" s="481"/>
      <c r="G13" s="265"/>
      <c r="H13" s="355" t="s">
        <v>370</v>
      </c>
      <c r="I13" s="339"/>
    </row>
    <row r="14" spans="2:9" ht="15.75" customHeight="1" thickBot="1" x14ac:dyDescent="0.2">
      <c r="B14" s="266"/>
      <c r="C14" s="267" t="s">
        <v>309</v>
      </c>
      <c r="D14" s="268" t="s">
        <v>310</v>
      </c>
      <c r="E14" s="482"/>
      <c r="F14" s="483"/>
      <c r="G14" s="342">
        <f>原価試算!I13</f>
        <v>0</v>
      </c>
      <c r="H14" s="269">
        <f>原価試算!L13</f>
        <v>0</v>
      </c>
      <c r="I14" s="270">
        <f>原価試算!O13</f>
        <v>0</v>
      </c>
    </row>
    <row r="15" spans="2:9" ht="15.75" customHeight="1" thickTop="1" x14ac:dyDescent="0.15">
      <c r="B15" s="271"/>
      <c r="C15" s="272"/>
      <c r="D15" s="273" t="s">
        <v>311</v>
      </c>
      <c r="E15" s="484" t="s">
        <v>312</v>
      </c>
      <c r="F15" s="484"/>
      <c r="G15" s="274"/>
      <c r="H15" s="275"/>
      <c r="I15" s="276"/>
    </row>
    <row r="16" spans="2:9" ht="15.75" customHeight="1" x14ac:dyDescent="0.15">
      <c r="B16" s="277">
        <v>1</v>
      </c>
      <c r="C16" s="278" t="str">
        <f>IF(原価試算!C16="","",原価試算!C16)</f>
        <v/>
      </c>
      <c r="D16" s="279" t="str">
        <f>IF(原価試算!D16="","",原価試算!D16)</f>
        <v/>
      </c>
      <c r="E16" s="471" t="str">
        <f>IF(原価試算!E16="","",原価試算!E16)</f>
        <v/>
      </c>
      <c r="F16" s="473"/>
      <c r="G16" s="343" t="str">
        <f>IF(原価試算!H16="","",(原価試算!H16/(原価試算!$H$94+原価試算!$H$135))*$G$5)</f>
        <v/>
      </c>
      <c r="H16" s="293" t="str">
        <f>IF(原価試算!K16="","",(原価試算!K16/(原価試算!$K$94+原価試算!$K$135))*$H$5)</f>
        <v/>
      </c>
      <c r="I16" s="294" t="str">
        <f>IF(原価試算!N16="","",(原価試算!N16/(原価試算!$N$94+原価試算!$N$135))*$I$5)</f>
        <v/>
      </c>
    </row>
    <row r="17" spans="2:9" ht="15.75" customHeight="1" x14ac:dyDescent="0.15">
      <c r="B17" s="277">
        <v>2</v>
      </c>
      <c r="C17" s="278" t="str">
        <f>IF(原価試算!C17="","",原価試算!C17)</f>
        <v/>
      </c>
      <c r="D17" s="279" t="str">
        <f>IF(原価試算!D17="","",原価試算!D17)</f>
        <v/>
      </c>
      <c r="E17" s="471" t="str">
        <f>IF(原価試算!E17="","",原価試算!E17)</f>
        <v/>
      </c>
      <c r="F17" s="473"/>
      <c r="G17" s="343" t="str">
        <f>IF(原価試算!H17="","",(原価試算!H17/(原価試算!$H$94+原価試算!$H$135))*$G$5)</f>
        <v/>
      </c>
      <c r="H17" s="293" t="str">
        <f>IF(原価試算!K17="","",(原価試算!K17/(原価試算!$K$94+原価試算!$K$135))*$H$5)</f>
        <v/>
      </c>
      <c r="I17" s="294" t="str">
        <f>IF(原価試算!N17="","",(原価試算!N17/(原価試算!$N$94+原価試算!$N$135))*$I$5)</f>
        <v/>
      </c>
    </row>
    <row r="18" spans="2:9" ht="15.75" customHeight="1" x14ac:dyDescent="0.15">
      <c r="B18" s="277">
        <v>3</v>
      </c>
      <c r="C18" s="278" t="str">
        <f>IF(原価試算!C18="","",原価試算!C18)</f>
        <v/>
      </c>
      <c r="D18" s="279" t="str">
        <f>IF(原価試算!D18="","",原価試算!D18)</f>
        <v/>
      </c>
      <c r="E18" s="471" t="str">
        <f>IF(原価試算!E18="","",原価試算!E18)</f>
        <v/>
      </c>
      <c r="F18" s="473"/>
      <c r="G18" s="343" t="str">
        <f>IF(原価試算!H18="","",(原価試算!H18/(原価試算!$H$94+原価試算!$H$135))*$G$5)</f>
        <v/>
      </c>
      <c r="H18" s="293" t="str">
        <f>IF(原価試算!K18="","",(原価試算!K18/(原価試算!$K$94+原価試算!$K$135))*$H$5)</f>
        <v/>
      </c>
      <c r="I18" s="294" t="str">
        <f>IF(原価試算!N18="","",(原価試算!N18/(原価試算!$N$94+原価試算!$N$135))*$I$5)</f>
        <v/>
      </c>
    </row>
    <row r="19" spans="2:9" ht="15.75" customHeight="1" x14ac:dyDescent="0.15">
      <c r="B19" s="277">
        <v>4</v>
      </c>
      <c r="C19" s="278" t="str">
        <f>IF(原価試算!C19="","",原価試算!C19)</f>
        <v/>
      </c>
      <c r="D19" s="279" t="str">
        <f>IF(原価試算!D19="","",原価試算!D19)</f>
        <v/>
      </c>
      <c r="E19" s="471" t="str">
        <f>IF(原価試算!E19="","",原価試算!E19)</f>
        <v/>
      </c>
      <c r="F19" s="473"/>
      <c r="G19" s="343" t="str">
        <f>IF(原価試算!H19="","",(原価試算!H19/(原価試算!$H$94+原価試算!$H$135))*$G$5)</f>
        <v/>
      </c>
      <c r="H19" s="293" t="str">
        <f>IF(原価試算!K19="","",(原価試算!K19/(原価試算!$K$94+原価試算!$K$135))*$H$5)</f>
        <v/>
      </c>
      <c r="I19" s="294" t="str">
        <f>IF(原価試算!N19="","",(原価試算!N19/(原価試算!$N$94+原価試算!$N$135))*$I$5)</f>
        <v/>
      </c>
    </row>
    <row r="20" spans="2:9" ht="15.75" customHeight="1" x14ac:dyDescent="0.15">
      <c r="B20" s="277">
        <v>5</v>
      </c>
      <c r="C20" s="278" t="str">
        <f>IF(原価試算!C20="","",原価試算!C20)</f>
        <v/>
      </c>
      <c r="D20" s="279" t="str">
        <f>IF(原価試算!D20="","",原価試算!D20)</f>
        <v/>
      </c>
      <c r="E20" s="471" t="str">
        <f>IF(原価試算!E20="","",原価試算!E20)</f>
        <v/>
      </c>
      <c r="F20" s="473"/>
      <c r="G20" s="343" t="str">
        <f>IF(原価試算!H20="","",(原価試算!H20/(原価試算!$H$94+原価試算!$H$135))*$G$5)</f>
        <v/>
      </c>
      <c r="H20" s="293" t="str">
        <f>IF(原価試算!K20="","",(原価試算!K20/(原価試算!$K$94+原価試算!$K$135))*$H$5)</f>
        <v/>
      </c>
      <c r="I20" s="294" t="str">
        <f>IF(原価試算!N20="","",(原価試算!N20/(原価試算!$N$94+原価試算!$N$135))*$I$5)</f>
        <v/>
      </c>
    </row>
    <row r="21" spans="2:9" ht="15.75" customHeight="1" x14ac:dyDescent="0.15">
      <c r="B21" s="277">
        <v>6</v>
      </c>
      <c r="C21" s="278" t="str">
        <f>IF(原価試算!C21="","",原価試算!C21)</f>
        <v/>
      </c>
      <c r="D21" s="279" t="str">
        <f>IF(原価試算!D21="","",原価試算!D21)</f>
        <v/>
      </c>
      <c r="E21" s="471" t="str">
        <f>IF(原価試算!E21="","",原価試算!E21)</f>
        <v/>
      </c>
      <c r="F21" s="473"/>
      <c r="G21" s="343" t="str">
        <f>IF(原価試算!H21="","",(原価試算!H21/(原価試算!$H$94+原価試算!$H$135))*$G$5)</f>
        <v/>
      </c>
      <c r="H21" s="293" t="str">
        <f>IF(原価試算!K21="","",(原価試算!K21/(原価試算!$K$94+原価試算!$K$135))*$H$5)</f>
        <v/>
      </c>
      <c r="I21" s="294" t="str">
        <f>IF(原価試算!N21="","",(原価試算!N21/(原価試算!$N$94+原価試算!$N$135))*$I$5)</f>
        <v/>
      </c>
    </row>
    <row r="22" spans="2:9" ht="15.75" customHeight="1" x14ac:dyDescent="0.15">
      <c r="B22" s="277">
        <v>7</v>
      </c>
      <c r="C22" s="278" t="str">
        <f>IF(原価試算!C22="","",原価試算!C22)</f>
        <v/>
      </c>
      <c r="D22" s="279" t="str">
        <f>IF(原価試算!D22="","",原価試算!D22)</f>
        <v/>
      </c>
      <c r="E22" s="471" t="str">
        <f>IF(原価試算!E22="","",原価試算!E22)</f>
        <v/>
      </c>
      <c r="F22" s="473"/>
      <c r="G22" s="343" t="str">
        <f>IF(原価試算!H22="","",(原価試算!H22/(原価試算!$H$94+原価試算!$H$135))*$G$5)</f>
        <v/>
      </c>
      <c r="H22" s="293" t="str">
        <f>IF(原価試算!K22="","",(原価試算!K22/(原価試算!$K$94+原価試算!$K$135))*$H$5)</f>
        <v/>
      </c>
      <c r="I22" s="294" t="str">
        <f>IF(原価試算!N22="","",(原価試算!N22/(原価試算!$N$94+原価試算!$N$135))*$I$5)</f>
        <v/>
      </c>
    </row>
    <row r="23" spans="2:9" ht="15.75" customHeight="1" x14ac:dyDescent="0.15">
      <c r="B23" s="277">
        <v>8</v>
      </c>
      <c r="C23" s="278" t="str">
        <f>IF(原価試算!C23="","",原価試算!C23)</f>
        <v/>
      </c>
      <c r="D23" s="279" t="str">
        <f>IF(原価試算!D23="","",原価試算!D23)</f>
        <v/>
      </c>
      <c r="E23" s="471" t="str">
        <f>IF(原価試算!E23="","",原価試算!E23)</f>
        <v/>
      </c>
      <c r="F23" s="473"/>
      <c r="G23" s="343" t="str">
        <f>IF(原価試算!H23="","",(原価試算!H23/(原価試算!$H$94+原価試算!$H$135))*$G$5)</f>
        <v/>
      </c>
      <c r="H23" s="293" t="str">
        <f>IF(原価試算!K23="","",(原価試算!K23/(原価試算!$K$94+原価試算!$K$135))*$H$5)</f>
        <v/>
      </c>
      <c r="I23" s="294" t="str">
        <f>IF(原価試算!N23="","",(原価試算!N23/(原価試算!$N$94+原価試算!$N$135))*$I$5)</f>
        <v/>
      </c>
    </row>
    <row r="24" spans="2:9" ht="15.75" customHeight="1" x14ac:dyDescent="0.15">
      <c r="B24" s="277">
        <v>9</v>
      </c>
      <c r="C24" s="278" t="str">
        <f>IF(原価試算!C24="","",原価試算!C24)</f>
        <v/>
      </c>
      <c r="D24" s="279" t="str">
        <f>IF(原価試算!D24="","",原価試算!D24)</f>
        <v/>
      </c>
      <c r="E24" s="471" t="str">
        <f>IF(原価試算!E24="","",原価試算!E24)</f>
        <v/>
      </c>
      <c r="F24" s="473"/>
      <c r="G24" s="343" t="str">
        <f>IF(原価試算!H24="","",(原価試算!H24/(原価試算!$H$94+原価試算!$H$135))*$G$5)</f>
        <v/>
      </c>
      <c r="H24" s="293" t="str">
        <f>IF(原価試算!K24="","",(原価試算!K24/(原価試算!$K$94+原価試算!$K$135))*$H$5)</f>
        <v/>
      </c>
      <c r="I24" s="294" t="str">
        <f>IF(原価試算!N24="","",(原価試算!N24/(原価試算!$N$94+原価試算!$N$135))*$I$5)</f>
        <v/>
      </c>
    </row>
    <row r="25" spans="2:9" ht="15.75" customHeight="1" x14ac:dyDescent="0.15">
      <c r="B25" s="277">
        <v>10</v>
      </c>
      <c r="C25" s="278" t="str">
        <f>IF(原価試算!C25="","",原価試算!C25)</f>
        <v/>
      </c>
      <c r="D25" s="279" t="str">
        <f>IF(原価試算!D25="","",原価試算!D25)</f>
        <v/>
      </c>
      <c r="E25" s="471" t="str">
        <f>IF(原価試算!E25="","",原価試算!E25)</f>
        <v/>
      </c>
      <c r="F25" s="473"/>
      <c r="G25" s="343" t="str">
        <f>IF(原価試算!H25="","",(原価試算!H25/(原価試算!$H$94+原価試算!$H$135))*$G$5)</f>
        <v/>
      </c>
      <c r="H25" s="293" t="str">
        <f>IF(原価試算!K25="","",(原価試算!K25/(原価試算!$K$94+原価試算!$K$135))*$H$5)</f>
        <v/>
      </c>
      <c r="I25" s="294" t="str">
        <f>IF(原価試算!N25="","",(原価試算!N25/(原価試算!$N$94+原価試算!$N$135))*$I$5)</f>
        <v/>
      </c>
    </row>
    <row r="26" spans="2:9" ht="15.75" customHeight="1" x14ac:dyDescent="0.15">
      <c r="B26" s="277">
        <v>11</v>
      </c>
      <c r="C26" s="278" t="str">
        <f>IF(原価試算!C26="","",原価試算!C26)</f>
        <v/>
      </c>
      <c r="D26" s="279" t="str">
        <f>IF(原価試算!D26="","",原価試算!D26)</f>
        <v/>
      </c>
      <c r="E26" s="471" t="str">
        <f>IF(原価試算!E26="","",原価試算!E26)</f>
        <v/>
      </c>
      <c r="F26" s="473"/>
      <c r="G26" s="343" t="str">
        <f>IF(原価試算!H26="","",(原価試算!H26/(原価試算!$H$94+原価試算!$H$135))*$G$5)</f>
        <v/>
      </c>
      <c r="H26" s="293" t="str">
        <f>IF(原価試算!K26="","",(原価試算!K26/(原価試算!$K$94+原価試算!$K$135))*$H$5)</f>
        <v/>
      </c>
      <c r="I26" s="294" t="str">
        <f>IF(原価試算!N26="","",(原価試算!N26/(原価試算!$N$94+原価試算!$N$135))*$I$5)</f>
        <v/>
      </c>
    </row>
    <row r="27" spans="2:9" ht="15.75" customHeight="1" x14ac:dyDescent="0.15">
      <c r="B27" s="277">
        <v>12</v>
      </c>
      <c r="C27" s="278" t="str">
        <f>IF(原価試算!C27="","",原価試算!C27)</f>
        <v/>
      </c>
      <c r="D27" s="279" t="str">
        <f>IF(原価試算!D27="","",原価試算!D27)</f>
        <v/>
      </c>
      <c r="E27" s="471" t="str">
        <f>IF(原価試算!E27="","",原価試算!E27)</f>
        <v/>
      </c>
      <c r="F27" s="473"/>
      <c r="G27" s="343" t="str">
        <f>IF(原価試算!H27="","",(原価試算!H27/(原価試算!$H$94+原価試算!$H$135))*$G$5)</f>
        <v/>
      </c>
      <c r="H27" s="293" t="str">
        <f>IF(原価試算!K27="","",(原価試算!K27/(原価試算!$K$94+原価試算!$K$135))*$H$5)</f>
        <v/>
      </c>
      <c r="I27" s="294" t="str">
        <f>IF(原価試算!N27="","",(原価試算!N27/(原価試算!$N$94+原価試算!$N$135))*$I$5)</f>
        <v/>
      </c>
    </row>
    <row r="28" spans="2:9" ht="15.75" customHeight="1" x14ac:dyDescent="0.15">
      <c r="B28" s="277">
        <v>13</v>
      </c>
      <c r="C28" s="278" t="str">
        <f>IF(原価試算!C28="","",原価試算!C28)</f>
        <v/>
      </c>
      <c r="D28" s="279" t="str">
        <f>IF(原価試算!D28="","",原価試算!D28)</f>
        <v/>
      </c>
      <c r="E28" s="471" t="str">
        <f>IF(原価試算!E28="","",原価試算!E28)</f>
        <v/>
      </c>
      <c r="F28" s="473"/>
      <c r="G28" s="343" t="str">
        <f>IF(原価試算!H28="","",(原価試算!H28/(原価試算!$H$94+原価試算!$H$135))*$G$5)</f>
        <v/>
      </c>
      <c r="H28" s="293" t="str">
        <f>IF(原価試算!K28="","",(原価試算!K28/(原価試算!$K$94+原価試算!$K$135))*$H$5)</f>
        <v/>
      </c>
      <c r="I28" s="294" t="str">
        <f>IF(原価試算!N28="","",(原価試算!N28/(原価試算!$N$94+原価試算!$N$135))*$I$5)</f>
        <v/>
      </c>
    </row>
    <row r="29" spans="2:9" ht="15.75" customHeight="1" x14ac:dyDescent="0.15">
      <c r="B29" s="277">
        <v>14</v>
      </c>
      <c r="C29" s="278" t="str">
        <f>IF(原価試算!C29="","",原価試算!C29)</f>
        <v/>
      </c>
      <c r="D29" s="279" t="str">
        <f>IF(原価試算!D29="","",原価試算!D29)</f>
        <v/>
      </c>
      <c r="E29" s="471" t="str">
        <f>IF(原価試算!E29="","",原価試算!E29)</f>
        <v/>
      </c>
      <c r="F29" s="473"/>
      <c r="G29" s="343" t="str">
        <f>IF(原価試算!H29="","",(原価試算!H29/(原価試算!$H$94+原価試算!$H$135))*$G$5)</f>
        <v/>
      </c>
      <c r="H29" s="293" t="str">
        <f>IF(原価試算!K29="","",(原価試算!K29/(原価試算!$K$94+原価試算!$K$135))*$H$5)</f>
        <v/>
      </c>
      <c r="I29" s="294" t="str">
        <f>IF(原価試算!N29="","",(原価試算!N29/(原価試算!$N$94+原価試算!$N$135))*$I$5)</f>
        <v/>
      </c>
    </row>
    <row r="30" spans="2:9" ht="15.75" customHeight="1" x14ac:dyDescent="0.15">
      <c r="B30" s="277">
        <v>15</v>
      </c>
      <c r="C30" s="278" t="str">
        <f>IF(原価試算!C30="","",原価試算!C30)</f>
        <v/>
      </c>
      <c r="D30" s="279" t="str">
        <f>IF(原価試算!D30="","",原価試算!D30)</f>
        <v/>
      </c>
      <c r="E30" s="471" t="str">
        <f>IF(原価試算!E30="","",原価試算!E30)</f>
        <v/>
      </c>
      <c r="F30" s="473"/>
      <c r="G30" s="343" t="str">
        <f>IF(原価試算!H30="","",(原価試算!H30/(原価試算!$H$94+原価試算!$H$135))*$G$5)</f>
        <v/>
      </c>
      <c r="H30" s="293" t="str">
        <f>IF(原価試算!K30="","",(原価試算!K30/(原価試算!$K$94+原価試算!$K$135))*$H$5)</f>
        <v/>
      </c>
      <c r="I30" s="294" t="str">
        <f>IF(原価試算!N30="","",(原価試算!N30/(原価試算!$N$94+原価試算!$N$135))*$I$5)</f>
        <v/>
      </c>
    </row>
    <row r="31" spans="2:9" ht="15.75" customHeight="1" x14ac:dyDescent="0.15">
      <c r="B31" s="277">
        <v>16</v>
      </c>
      <c r="C31" s="278" t="str">
        <f>IF(原価試算!C31="","",原価試算!C31)</f>
        <v/>
      </c>
      <c r="D31" s="279" t="str">
        <f>IF(原価試算!D31="","",原価試算!D31)</f>
        <v/>
      </c>
      <c r="E31" s="471" t="str">
        <f>IF(原価試算!E31="","",原価試算!E31)</f>
        <v/>
      </c>
      <c r="F31" s="473"/>
      <c r="G31" s="343" t="str">
        <f>IF(原価試算!H31="","",(原価試算!H31/(原価試算!$H$94+原価試算!$H$135))*$G$5)</f>
        <v/>
      </c>
      <c r="H31" s="293" t="str">
        <f>IF(原価試算!K31="","",(原価試算!K31/(原価試算!$K$94+原価試算!$K$135))*$H$5)</f>
        <v/>
      </c>
      <c r="I31" s="294" t="str">
        <f>IF(原価試算!N31="","",(原価試算!N31/(原価試算!$N$94+原価試算!$N$135))*$I$5)</f>
        <v/>
      </c>
    </row>
    <row r="32" spans="2:9" ht="15.75" customHeight="1" x14ac:dyDescent="0.15">
      <c r="B32" s="277">
        <v>17</v>
      </c>
      <c r="C32" s="278" t="str">
        <f>IF(原価試算!C32="","",原価試算!C32)</f>
        <v/>
      </c>
      <c r="D32" s="279" t="str">
        <f>IF(原価試算!D32="","",原価試算!D32)</f>
        <v/>
      </c>
      <c r="E32" s="471" t="str">
        <f>IF(原価試算!E32="","",原価試算!E32)</f>
        <v/>
      </c>
      <c r="F32" s="473"/>
      <c r="G32" s="343" t="str">
        <f>IF(原価試算!H32="","",(原価試算!H32/(原価試算!$H$94+原価試算!$H$135))*$G$5)</f>
        <v/>
      </c>
      <c r="H32" s="293" t="str">
        <f>IF(原価試算!K32="","",(原価試算!K32/(原価試算!$K$94+原価試算!$K$135))*$H$5)</f>
        <v/>
      </c>
      <c r="I32" s="294" t="str">
        <f>IF(原価試算!N32="","",(原価試算!N32/(原価試算!$N$94+原価試算!$N$135))*$I$5)</f>
        <v/>
      </c>
    </row>
    <row r="33" spans="2:9" ht="15.75" customHeight="1" x14ac:dyDescent="0.15">
      <c r="B33" s="277">
        <v>18</v>
      </c>
      <c r="C33" s="278" t="str">
        <f>IF(原価試算!C33="","",原価試算!C33)</f>
        <v/>
      </c>
      <c r="D33" s="279" t="str">
        <f>IF(原価試算!D33="","",原価試算!D33)</f>
        <v/>
      </c>
      <c r="E33" s="471" t="str">
        <f>IF(原価試算!E33="","",原価試算!E33)</f>
        <v/>
      </c>
      <c r="F33" s="473"/>
      <c r="G33" s="343" t="str">
        <f>IF(原価試算!H33="","",(原価試算!H33/(原価試算!$H$94+原価試算!$H$135))*$G$5)</f>
        <v/>
      </c>
      <c r="H33" s="293" t="str">
        <f>IF(原価試算!K33="","",(原価試算!K33/(原価試算!$K$94+原価試算!$K$135))*$H$5)</f>
        <v/>
      </c>
      <c r="I33" s="294" t="str">
        <f>IF(原価試算!N33="","",(原価試算!N33/(原価試算!$N$94+原価試算!$N$135))*$I$5)</f>
        <v/>
      </c>
    </row>
    <row r="34" spans="2:9" ht="15.75" customHeight="1" x14ac:dyDescent="0.15">
      <c r="B34" s="277">
        <v>19</v>
      </c>
      <c r="C34" s="278" t="str">
        <f>IF(原価試算!C34="","",原価試算!C34)</f>
        <v/>
      </c>
      <c r="D34" s="279" t="str">
        <f>IF(原価試算!D34="","",原価試算!D34)</f>
        <v/>
      </c>
      <c r="E34" s="471" t="str">
        <f>IF(原価試算!E34="","",原価試算!E34)</f>
        <v/>
      </c>
      <c r="F34" s="473"/>
      <c r="G34" s="343" t="str">
        <f>IF(原価試算!H34="","",(原価試算!H34/(原価試算!$H$94+原価試算!$H$135))*$G$5)</f>
        <v/>
      </c>
      <c r="H34" s="293" t="str">
        <f>IF(原価試算!K34="","",(原価試算!K34/(原価試算!$K$94+原価試算!$K$135))*$H$5)</f>
        <v/>
      </c>
      <c r="I34" s="294" t="str">
        <f>IF(原価試算!N34="","",(原価試算!N34/(原価試算!$N$94+原価試算!$N$135))*$I$5)</f>
        <v/>
      </c>
    </row>
    <row r="35" spans="2:9" ht="15.75" customHeight="1" x14ac:dyDescent="0.15">
      <c r="B35" s="277">
        <v>20</v>
      </c>
      <c r="C35" s="278" t="str">
        <f>IF(原価試算!C35="","",原価試算!C35)</f>
        <v/>
      </c>
      <c r="D35" s="279" t="str">
        <f>IF(原価試算!D35="","",原価試算!D35)</f>
        <v/>
      </c>
      <c r="E35" s="471" t="str">
        <f>IF(原価試算!E35="","",原価試算!E35)</f>
        <v/>
      </c>
      <c r="F35" s="473"/>
      <c r="G35" s="343" t="str">
        <f>IF(原価試算!H35="","",(原価試算!H35/(原価試算!$H$94+原価試算!$H$135))*$G$5)</f>
        <v/>
      </c>
      <c r="H35" s="293" t="str">
        <f>IF(原価試算!K35="","",(原価試算!K35/(原価試算!$K$94+原価試算!$K$135))*$H$5)</f>
        <v/>
      </c>
      <c r="I35" s="294" t="str">
        <f>IF(原価試算!N35="","",(原価試算!N35/(原価試算!$N$94+原価試算!$N$135))*$I$5)</f>
        <v/>
      </c>
    </row>
    <row r="36" spans="2:9" ht="15.75" customHeight="1" x14ac:dyDescent="0.15">
      <c r="B36" s="277">
        <v>21</v>
      </c>
      <c r="C36" s="278" t="str">
        <f>IF(原価試算!C36="","",原価試算!C36)</f>
        <v/>
      </c>
      <c r="D36" s="279" t="str">
        <f>IF(原価試算!D36="","",原価試算!D36)</f>
        <v/>
      </c>
      <c r="E36" s="471" t="str">
        <f>IF(原価試算!E36="","",原価試算!E36)</f>
        <v/>
      </c>
      <c r="F36" s="473"/>
      <c r="G36" s="343" t="str">
        <f>IF(原価試算!H36="","",(原価試算!H36/(原価試算!$H$94+原価試算!$H$135))*$G$5)</f>
        <v/>
      </c>
      <c r="H36" s="293" t="str">
        <f>IF(原価試算!K36="","",(原価試算!K36/(原価試算!$K$94+原価試算!$K$135))*$H$5)</f>
        <v/>
      </c>
      <c r="I36" s="294" t="str">
        <f>IF(原価試算!N36="","",(原価試算!N36/(原価試算!$N$94+原価試算!$N$135))*$I$5)</f>
        <v/>
      </c>
    </row>
    <row r="37" spans="2:9" ht="15.75" customHeight="1" x14ac:dyDescent="0.15">
      <c r="B37" s="277">
        <v>22</v>
      </c>
      <c r="C37" s="278" t="str">
        <f>IF(原価試算!C37="","",原価試算!C37)</f>
        <v/>
      </c>
      <c r="D37" s="279" t="str">
        <f>IF(原価試算!D37="","",原価試算!D37)</f>
        <v/>
      </c>
      <c r="E37" s="471" t="str">
        <f>IF(原価試算!E37="","",原価試算!E37)</f>
        <v/>
      </c>
      <c r="F37" s="473"/>
      <c r="G37" s="343" t="str">
        <f>IF(原価試算!H37="","",(原価試算!H37/(原価試算!$H$94+原価試算!$H$135))*$G$5)</f>
        <v/>
      </c>
      <c r="H37" s="293" t="str">
        <f>IF(原価試算!K37="","",(原価試算!K37/(原価試算!$K$94+原価試算!$K$135))*$H$5)</f>
        <v/>
      </c>
      <c r="I37" s="294" t="str">
        <f>IF(原価試算!N37="","",(原価試算!N37/(原価試算!$N$94+原価試算!$N$135))*$I$5)</f>
        <v/>
      </c>
    </row>
    <row r="38" spans="2:9" ht="15.75" customHeight="1" x14ac:dyDescent="0.15">
      <c r="B38" s="277">
        <v>23</v>
      </c>
      <c r="C38" s="278" t="str">
        <f>IF(原価試算!C38="","",原価試算!C38)</f>
        <v/>
      </c>
      <c r="D38" s="279" t="str">
        <f>IF(原価試算!D38="","",原価試算!D38)</f>
        <v/>
      </c>
      <c r="E38" s="471" t="str">
        <f>IF(原価試算!E38="","",原価試算!E38)</f>
        <v/>
      </c>
      <c r="F38" s="473"/>
      <c r="G38" s="343" t="str">
        <f>IF(原価試算!H38="","",(原価試算!H38/(原価試算!$H$94+原価試算!$H$135))*$G$5)</f>
        <v/>
      </c>
      <c r="H38" s="293" t="str">
        <f>IF(原価試算!K38="","",(原価試算!K38/(原価試算!$K$94+原価試算!$K$135))*$H$5)</f>
        <v/>
      </c>
      <c r="I38" s="294" t="str">
        <f>IF(原価試算!N38="","",(原価試算!N38/(原価試算!$N$94+原価試算!$N$135))*$I$5)</f>
        <v/>
      </c>
    </row>
    <row r="39" spans="2:9" ht="15.75" customHeight="1" x14ac:dyDescent="0.15">
      <c r="B39" s="277">
        <v>24</v>
      </c>
      <c r="C39" s="278" t="str">
        <f>IF(原価試算!C39="","",原価試算!C39)</f>
        <v/>
      </c>
      <c r="D39" s="279" t="str">
        <f>IF(原価試算!D39="","",原価試算!D39)</f>
        <v/>
      </c>
      <c r="E39" s="471" t="str">
        <f>IF(原価試算!E39="","",原価試算!E39)</f>
        <v/>
      </c>
      <c r="F39" s="473"/>
      <c r="G39" s="343" t="str">
        <f>IF(原価試算!H39="","",(原価試算!H39/(原価試算!$H$94+原価試算!$H$135))*$G$5)</f>
        <v/>
      </c>
      <c r="H39" s="293" t="str">
        <f>IF(原価試算!K39="","",(原価試算!K39/(原価試算!$K$94+原価試算!$K$135))*$H$5)</f>
        <v/>
      </c>
      <c r="I39" s="294" t="str">
        <f>IF(原価試算!N39="","",(原価試算!N39/(原価試算!$N$94+原価試算!$N$135))*$I$5)</f>
        <v/>
      </c>
    </row>
    <row r="40" spans="2:9" ht="15.75" customHeight="1" x14ac:dyDescent="0.15">
      <c r="B40" s="277">
        <v>25</v>
      </c>
      <c r="C40" s="278" t="str">
        <f>IF(原価試算!C40="","",原価試算!C40)</f>
        <v/>
      </c>
      <c r="D40" s="279" t="str">
        <f>IF(原価試算!D40="","",原価試算!D40)</f>
        <v/>
      </c>
      <c r="E40" s="471" t="str">
        <f>IF(原価試算!E40="","",原価試算!E40)</f>
        <v/>
      </c>
      <c r="F40" s="473"/>
      <c r="G40" s="343" t="str">
        <f>IF(原価試算!H40="","",(原価試算!H40/(原価試算!$H$94+原価試算!$H$135))*$G$5)</f>
        <v/>
      </c>
      <c r="H40" s="293" t="str">
        <f>IF(原価試算!K40="","",(原価試算!K40/(原価試算!$K$94+原価試算!$K$135))*$H$5)</f>
        <v/>
      </c>
      <c r="I40" s="294" t="str">
        <f>IF(原価試算!N40="","",(原価試算!N40/(原価試算!$N$94+原価試算!$N$135))*$I$5)</f>
        <v/>
      </c>
    </row>
    <row r="41" spans="2:9" ht="15.75" customHeight="1" x14ac:dyDescent="0.15">
      <c r="B41" s="277">
        <v>26</v>
      </c>
      <c r="C41" s="278" t="str">
        <f>IF(原価試算!C41="","",原価試算!C41)</f>
        <v/>
      </c>
      <c r="D41" s="279" t="str">
        <f>IF(原価試算!D41="","",原価試算!D41)</f>
        <v/>
      </c>
      <c r="E41" s="471" t="str">
        <f>IF(原価試算!E41="","",原価試算!E41)</f>
        <v/>
      </c>
      <c r="F41" s="473"/>
      <c r="G41" s="343" t="str">
        <f>IF(原価試算!H41="","",(原価試算!H41/(原価試算!$H$94+原価試算!$H$135))*$G$5)</f>
        <v/>
      </c>
      <c r="H41" s="293" t="str">
        <f>IF(原価試算!K41="","",(原価試算!K41/(原価試算!$K$94+原価試算!$K$135))*$H$5)</f>
        <v/>
      </c>
      <c r="I41" s="294" t="str">
        <f>IF(原価試算!N41="","",(原価試算!N41/(原価試算!$N$94+原価試算!$N$135))*$I$5)</f>
        <v/>
      </c>
    </row>
    <row r="42" spans="2:9" ht="15.75" customHeight="1" x14ac:dyDescent="0.15">
      <c r="B42" s="277">
        <v>27</v>
      </c>
      <c r="C42" s="278" t="str">
        <f>IF(原価試算!C42="","",原価試算!C42)</f>
        <v/>
      </c>
      <c r="D42" s="279" t="str">
        <f>IF(原価試算!D42="","",原価試算!D42)</f>
        <v/>
      </c>
      <c r="E42" s="471" t="str">
        <f>IF(原価試算!E42="","",原価試算!E42)</f>
        <v/>
      </c>
      <c r="F42" s="473"/>
      <c r="G42" s="343" t="str">
        <f>IF(原価試算!H42="","",(原価試算!H42/(原価試算!$H$94+原価試算!$H$135))*$G$5)</f>
        <v/>
      </c>
      <c r="H42" s="293" t="str">
        <f>IF(原価試算!K42="","",(原価試算!K42/(原価試算!$K$94+原価試算!$K$135))*$H$5)</f>
        <v/>
      </c>
      <c r="I42" s="294" t="str">
        <f>IF(原価試算!N42="","",(原価試算!N42/(原価試算!$N$94+原価試算!$N$135))*$I$5)</f>
        <v/>
      </c>
    </row>
    <row r="43" spans="2:9" ht="15.75" customHeight="1" x14ac:dyDescent="0.15">
      <c r="B43" s="277">
        <v>28</v>
      </c>
      <c r="C43" s="278" t="str">
        <f>IF(原価試算!C43="","",原価試算!C43)</f>
        <v/>
      </c>
      <c r="D43" s="279" t="str">
        <f>IF(原価試算!D43="","",原価試算!D43)</f>
        <v/>
      </c>
      <c r="E43" s="471" t="str">
        <f>IF(原価試算!E43="","",原価試算!E43)</f>
        <v/>
      </c>
      <c r="F43" s="473"/>
      <c r="G43" s="343" t="str">
        <f>IF(原価試算!H43="","",(原価試算!H43/(原価試算!$H$94+原価試算!$H$135))*$G$5)</f>
        <v/>
      </c>
      <c r="H43" s="293" t="str">
        <f>IF(原価試算!K43="","",(原価試算!K43/(原価試算!$K$94+原価試算!$K$135))*$H$5)</f>
        <v/>
      </c>
      <c r="I43" s="294" t="str">
        <f>IF(原価試算!N43="","",(原価試算!N43/(原価試算!$N$94+原価試算!$N$135))*$I$5)</f>
        <v/>
      </c>
    </row>
    <row r="44" spans="2:9" ht="15.75" customHeight="1" x14ac:dyDescent="0.15">
      <c r="B44" s="277">
        <v>29</v>
      </c>
      <c r="C44" s="278" t="str">
        <f>IF(原価試算!C44="","",原価試算!C44)</f>
        <v/>
      </c>
      <c r="D44" s="279" t="str">
        <f>IF(原価試算!D44="","",原価試算!D44)</f>
        <v/>
      </c>
      <c r="E44" s="471" t="str">
        <f>IF(原価試算!E44="","",原価試算!E44)</f>
        <v/>
      </c>
      <c r="F44" s="473"/>
      <c r="G44" s="343" t="str">
        <f>IF(原価試算!H44="","",(原価試算!H44/(原価試算!$H$94+原価試算!$H$135))*$G$5)</f>
        <v/>
      </c>
      <c r="H44" s="293" t="str">
        <f>IF(原価試算!K44="","",(原価試算!K44/(原価試算!$K$94+原価試算!$K$135))*$H$5)</f>
        <v/>
      </c>
      <c r="I44" s="294" t="str">
        <f>IF(原価試算!N44="","",(原価試算!N44/(原価試算!$N$94+原価試算!$N$135))*$I$5)</f>
        <v/>
      </c>
    </row>
    <row r="45" spans="2:9" ht="15.75" customHeight="1" x14ac:dyDescent="0.15">
      <c r="B45" s="277">
        <v>30</v>
      </c>
      <c r="C45" s="278" t="str">
        <f>IF(原価試算!C45="","",原価試算!C45)</f>
        <v/>
      </c>
      <c r="D45" s="279" t="str">
        <f>IF(原価試算!D45="","",原価試算!D45)</f>
        <v/>
      </c>
      <c r="E45" s="471" t="str">
        <f>IF(原価試算!E45="","",原価試算!E45)</f>
        <v/>
      </c>
      <c r="F45" s="473"/>
      <c r="G45" s="343" t="str">
        <f>IF(原価試算!H45="","",(原価試算!H45/(原価試算!$H$94+原価試算!$H$135))*$G$5)</f>
        <v/>
      </c>
      <c r="H45" s="293" t="str">
        <f>IF(原価試算!K45="","",(原価試算!K45/(原価試算!$K$94+原価試算!$K$135))*$H$5)</f>
        <v/>
      </c>
      <c r="I45" s="294" t="str">
        <f>IF(原価試算!N45="","",(原価試算!N45/(原価試算!$N$94+原価試算!$N$135))*$I$5)</f>
        <v/>
      </c>
    </row>
    <row r="46" spans="2:9" ht="15.75" customHeight="1" x14ac:dyDescent="0.15">
      <c r="B46" s="277">
        <v>31</v>
      </c>
      <c r="C46" s="278" t="str">
        <f>IF(原価試算!C46="","",原価試算!C46)</f>
        <v/>
      </c>
      <c r="D46" s="279" t="str">
        <f>IF(原価試算!D46="","",原価試算!D46)</f>
        <v/>
      </c>
      <c r="E46" s="471" t="str">
        <f>IF(原価試算!E46="","",原価試算!E46)</f>
        <v/>
      </c>
      <c r="F46" s="473"/>
      <c r="G46" s="343" t="str">
        <f>IF(原価試算!H46="","",(原価試算!H46/(原価試算!$H$94+原価試算!$H$135))*$G$5)</f>
        <v/>
      </c>
      <c r="H46" s="293" t="str">
        <f>IF(原価試算!K46="","",(原価試算!K46/(原価試算!$K$94+原価試算!$K$135))*$H$5)</f>
        <v/>
      </c>
      <c r="I46" s="294" t="str">
        <f>IF(原価試算!N46="","",(原価試算!N46/(原価試算!$N$94+原価試算!$N$135))*$I$5)</f>
        <v/>
      </c>
    </row>
    <row r="47" spans="2:9" ht="15.75" customHeight="1" x14ac:dyDescent="0.15">
      <c r="B47" s="277">
        <v>32</v>
      </c>
      <c r="C47" s="278" t="str">
        <f>IF(原価試算!C47="","",原価試算!C47)</f>
        <v/>
      </c>
      <c r="D47" s="279" t="str">
        <f>IF(原価試算!D47="","",原価試算!D47)</f>
        <v/>
      </c>
      <c r="E47" s="471" t="str">
        <f>IF(原価試算!E47="","",原価試算!E47)</f>
        <v/>
      </c>
      <c r="F47" s="473"/>
      <c r="G47" s="343" t="str">
        <f>IF(原価試算!H47="","",(原価試算!H47/(原価試算!$H$94+原価試算!$H$135))*$G$5)</f>
        <v/>
      </c>
      <c r="H47" s="293" t="str">
        <f>IF(原価試算!K47="","",(原価試算!K47/(原価試算!$K$94+原価試算!$K$135))*$H$5)</f>
        <v/>
      </c>
      <c r="I47" s="294" t="str">
        <f>IF(原価試算!N47="","",(原価試算!N47/(原価試算!$N$94+原価試算!$N$135))*$I$5)</f>
        <v/>
      </c>
    </row>
    <row r="48" spans="2:9" ht="15.75" customHeight="1" x14ac:dyDescent="0.15">
      <c r="B48" s="277">
        <v>33</v>
      </c>
      <c r="C48" s="278" t="str">
        <f>IF(原価試算!C48="","",原価試算!C48)</f>
        <v/>
      </c>
      <c r="D48" s="279" t="str">
        <f>IF(原価試算!D48="","",原価試算!D48)</f>
        <v/>
      </c>
      <c r="E48" s="471" t="str">
        <f>IF(原価試算!E48="","",原価試算!E48)</f>
        <v/>
      </c>
      <c r="F48" s="473"/>
      <c r="G48" s="343" t="str">
        <f>IF(原価試算!H48="","",(原価試算!H48/(原価試算!$H$94+原価試算!$H$135))*$G$5)</f>
        <v/>
      </c>
      <c r="H48" s="293" t="str">
        <f>IF(原価試算!K48="","",(原価試算!K48/(原価試算!$K$94+原価試算!$K$135))*$H$5)</f>
        <v/>
      </c>
      <c r="I48" s="294" t="str">
        <f>IF(原価試算!N48="","",(原価試算!N48/(原価試算!$N$94+原価試算!$N$135))*$I$5)</f>
        <v/>
      </c>
    </row>
    <row r="49" spans="2:9" ht="15.75" customHeight="1" x14ac:dyDescent="0.15">
      <c r="B49" s="277">
        <v>34</v>
      </c>
      <c r="C49" s="278" t="str">
        <f>IF(原価試算!C49="","",原価試算!C49)</f>
        <v/>
      </c>
      <c r="D49" s="279" t="str">
        <f>IF(原価試算!D49="","",原価試算!D49)</f>
        <v/>
      </c>
      <c r="E49" s="471" t="str">
        <f>IF(原価試算!E49="","",原価試算!E49)</f>
        <v/>
      </c>
      <c r="F49" s="473"/>
      <c r="G49" s="343" t="str">
        <f>IF(原価試算!H49="","",(原価試算!H49/(原価試算!$H$94+原価試算!$H$135))*$G$5)</f>
        <v/>
      </c>
      <c r="H49" s="293" t="str">
        <f>IF(原価試算!K49="","",(原価試算!K49/(原価試算!$K$94+原価試算!$K$135))*$H$5)</f>
        <v/>
      </c>
      <c r="I49" s="294" t="str">
        <f>IF(原価試算!N49="","",(原価試算!N49/(原価試算!$N$94+原価試算!$N$135))*$I$5)</f>
        <v/>
      </c>
    </row>
    <row r="50" spans="2:9" ht="15.75" customHeight="1" x14ac:dyDescent="0.15">
      <c r="B50" s="277">
        <v>35</v>
      </c>
      <c r="C50" s="278" t="str">
        <f>IF(原価試算!C50="","",原価試算!C50)</f>
        <v/>
      </c>
      <c r="D50" s="279" t="str">
        <f>IF(原価試算!D50="","",原価試算!D50)</f>
        <v/>
      </c>
      <c r="E50" s="471" t="str">
        <f>IF(原価試算!E50="","",原価試算!E50)</f>
        <v/>
      </c>
      <c r="F50" s="473"/>
      <c r="G50" s="343" t="str">
        <f>IF(原価試算!H50="","",(原価試算!H50/(原価試算!$H$94+原価試算!$H$135))*$G$5)</f>
        <v/>
      </c>
      <c r="H50" s="293" t="str">
        <f>IF(原価試算!K50="","",(原価試算!K50/(原価試算!$K$94+原価試算!$K$135))*$H$5)</f>
        <v/>
      </c>
      <c r="I50" s="294" t="str">
        <f>IF(原価試算!N50="","",(原価試算!N50/(原価試算!$N$94+原価試算!$N$135))*$I$5)</f>
        <v/>
      </c>
    </row>
    <row r="51" spans="2:9" ht="15.75" customHeight="1" x14ac:dyDescent="0.15">
      <c r="B51" s="277">
        <v>36</v>
      </c>
      <c r="C51" s="278" t="str">
        <f>IF(原価試算!C51="","",原価試算!C51)</f>
        <v/>
      </c>
      <c r="D51" s="279" t="str">
        <f>IF(原価試算!D51="","",原価試算!D51)</f>
        <v/>
      </c>
      <c r="E51" s="471" t="str">
        <f>IF(原価試算!E51="","",原価試算!E51)</f>
        <v/>
      </c>
      <c r="F51" s="473"/>
      <c r="G51" s="343" t="str">
        <f>IF(原価試算!H51="","",(原価試算!H51/(原価試算!$H$94+原価試算!$H$135))*$G$5)</f>
        <v/>
      </c>
      <c r="H51" s="293" t="str">
        <f>IF(原価試算!K51="","",(原価試算!K51/(原価試算!$K$94+原価試算!$K$135))*$H$5)</f>
        <v/>
      </c>
      <c r="I51" s="294" t="str">
        <f>IF(原価試算!N51="","",(原価試算!N51/(原価試算!$N$94+原価試算!$N$135))*$I$5)</f>
        <v/>
      </c>
    </row>
    <row r="52" spans="2:9" ht="15.75" customHeight="1" x14ac:dyDescent="0.15">
      <c r="B52" s="277">
        <v>37</v>
      </c>
      <c r="C52" s="278" t="str">
        <f>IF(原価試算!C52="","",原価試算!C52)</f>
        <v/>
      </c>
      <c r="D52" s="279" t="str">
        <f>IF(原価試算!D52="","",原価試算!D52)</f>
        <v/>
      </c>
      <c r="E52" s="471" t="str">
        <f>IF(原価試算!E52="","",原価試算!E52)</f>
        <v/>
      </c>
      <c r="F52" s="473"/>
      <c r="G52" s="343" t="str">
        <f>IF(原価試算!H52="","",(原価試算!H52/(原価試算!$H$94+原価試算!$H$135))*$G$5)</f>
        <v/>
      </c>
      <c r="H52" s="293" t="str">
        <f>IF(原価試算!K52="","",(原価試算!K52/(原価試算!$K$94+原価試算!$K$135))*$H$5)</f>
        <v/>
      </c>
      <c r="I52" s="294" t="str">
        <f>IF(原価試算!N52="","",(原価試算!N52/(原価試算!$N$94+原価試算!$N$135))*$I$5)</f>
        <v/>
      </c>
    </row>
    <row r="53" spans="2:9" ht="15.75" customHeight="1" x14ac:dyDescent="0.15">
      <c r="B53" s="277">
        <v>38</v>
      </c>
      <c r="C53" s="278" t="str">
        <f>IF(原価試算!C53="","",原価試算!C53)</f>
        <v/>
      </c>
      <c r="D53" s="279" t="str">
        <f>IF(原価試算!D53="","",原価試算!D53)</f>
        <v/>
      </c>
      <c r="E53" s="471" t="str">
        <f>IF(原価試算!E53="","",原価試算!E53)</f>
        <v/>
      </c>
      <c r="F53" s="473"/>
      <c r="G53" s="343" t="str">
        <f>IF(原価試算!H53="","",(原価試算!H53/(原価試算!$H$94+原価試算!$H$135))*$G$5)</f>
        <v/>
      </c>
      <c r="H53" s="293" t="str">
        <f>IF(原価試算!K53="","",(原価試算!K53/(原価試算!$K$94+原価試算!$K$135))*$H$5)</f>
        <v/>
      </c>
      <c r="I53" s="294" t="str">
        <f>IF(原価試算!N53="","",(原価試算!N53/(原価試算!$N$94+原価試算!$N$135))*$I$5)</f>
        <v/>
      </c>
    </row>
    <row r="54" spans="2:9" ht="15.75" customHeight="1" x14ac:dyDescent="0.15">
      <c r="B54" s="277">
        <v>39</v>
      </c>
      <c r="C54" s="278" t="str">
        <f>IF(原価試算!C54="","",原価試算!C54)</f>
        <v/>
      </c>
      <c r="D54" s="279" t="str">
        <f>IF(原価試算!D54="","",原価試算!D54)</f>
        <v/>
      </c>
      <c r="E54" s="471" t="str">
        <f>IF(原価試算!E54="","",原価試算!E54)</f>
        <v/>
      </c>
      <c r="F54" s="473"/>
      <c r="G54" s="343" t="str">
        <f>IF(原価試算!H54="","",(原価試算!H54/(原価試算!$H$94+原価試算!$H$135))*$G$5)</f>
        <v/>
      </c>
      <c r="H54" s="293" t="str">
        <f>IF(原価試算!K54="","",(原価試算!K54/(原価試算!$K$94+原価試算!$K$135))*$H$5)</f>
        <v/>
      </c>
      <c r="I54" s="294" t="str">
        <f>IF(原価試算!N54="","",(原価試算!N54/(原価試算!$N$94+原価試算!$N$135))*$I$5)</f>
        <v/>
      </c>
    </row>
    <row r="55" spans="2:9" ht="15.75" customHeight="1" thickBot="1" x14ac:dyDescent="0.2">
      <c r="B55" s="280"/>
      <c r="C55" s="281"/>
      <c r="D55" s="281"/>
      <c r="E55" s="476" t="s">
        <v>313</v>
      </c>
      <c r="F55" s="476"/>
      <c r="G55" s="295"/>
      <c r="H55" s="296"/>
      <c r="I55" s="297"/>
    </row>
    <row r="56" spans="2:9" ht="15.75" customHeight="1" x14ac:dyDescent="0.15">
      <c r="B56" s="282"/>
      <c r="C56" s="283"/>
      <c r="D56" s="284" t="s">
        <v>314</v>
      </c>
      <c r="E56" s="478" t="s">
        <v>315</v>
      </c>
      <c r="F56" s="478"/>
      <c r="G56" s="298"/>
      <c r="H56" s="299"/>
      <c r="I56" s="300"/>
    </row>
    <row r="57" spans="2:9" ht="15.75" customHeight="1" x14ac:dyDescent="0.15">
      <c r="B57" s="277">
        <v>40</v>
      </c>
      <c r="C57" s="278" t="str">
        <f>IF(原価試算!C57="","",原価試算!C57)</f>
        <v/>
      </c>
      <c r="D57" s="279" t="str">
        <f>IF(原価試算!D57="","",原価試算!D57)</f>
        <v/>
      </c>
      <c r="E57" s="471" t="str">
        <f>IF(原価試算!E57="","",原価試算!E57)</f>
        <v/>
      </c>
      <c r="F57" s="472"/>
      <c r="G57" s="343" t="str">
        <f>IF(原価試算!H57="","",(原価試算!H57/(原価試算!$H$94+原価試算!$H$135))*$G$5)</f>
        <v/>
      </c>
      <c r="H57" s="293" t="str">
        <f>IF(原価試算!K57="","",(原価試算!K57/(原価試算!$K$94+原価試算!$K$135))*$H$5)</f>
        <v/>
      </c>
      <c r="I57" s="294" t="str">
        <f>IF(原価試算!N57="","",(原価試算!N57/(原価試算!$N$94+原価試算!$N$135))*$I$5)</f>
        <v/>
      </c>
    </row>
    <row r="58" spans="2:9" ht="15.75" customHeight="1" x14ac:dyDescent="0.15">
      <c r="B58" s="277">
        <v>41</v>
      </c>
      <c r="C58" s="278" t="str">
        <f>IF(原価試算!C58="","",原価試算!C58)</f>
        <v/>
      </c>
      <c r="D58" s="279" t="str">
        <f>IF(原価試算!D58="","",原価試算!D58)</f>
        <v/>
      </c>
      <c r="E58" s="471" t="str">
        <f>IF(原価試算!E58="","",原価試算!E58)</f>
        <v/>
      </c>
      <c r="F58" s="472"/>
      <c r="G58" s="343" t="str">
        <f>IF(原価試算!H58="","",(原価試算!H58/(原価試算!$H$94+原価試算!$H$135))*$G$5)</f>
        <v/>
      </c>
      <c r="H58" s="293" t="str">
        <f>IF(原価試算!K58="","",(原価試算!K58/(原価試算!$K$94+原価試算!$K$135))*$H$5)</f>
        <v/>
      </c>
      <c r="I58" s="294" t="str">
        <f>IF(原価試算!N58="","",(原価試算!N58/(原価試算!$N$94+原価試算!$N$135))*$I$5)</f>
        <v/>
      </c>
    </row>
    <row r="59" spans="2:9" ht="15.75" customHeight="1" x14ac:dyDescent="0.15">
      <c r="B59" s="277">
        <v>42</v>
      </c>
      <c r="C59" s="278" t="str">
        <f>IF(原価試算!C59="","",原価試算!C59)</f>
        <v/>
      </c>
      <c r="D59" s="279" t="str">
        <f>IF(原価試算!D59="","",原価試算!D59)</f>
        <v/>
      </c>
      <c r="E59" s="471" t="str">
        <f>IF(原価試算!E59="","",原価試算!E59)</f>
        <v/>
      </c>
      <c r="F59" s="472"/>
      <c r="G59" s="343" t="str">
        <f>IF(原価試算!H59="","",(原価試算!H59/(原価試算!$H$94+原価試算!$H$135))*$G$5)</f>
        <v/>
      </c>
      <c r="H59" s="293" t="str">
        <f>IF(原価試算!K59="","",(原価試算!K59/(原価試算!$K$94+原価試算!$K$135))*$H$5)</f>
        <v/>
      </c>
      <c r="I59" s="294" t="str">
        <f>IF(原価試算!N59="","",(原価試算!N59/(原価試算!$N$94+原価試算!$N$135))*$I$5)</f>
        <v/>
      </c>
    </row>
    <row r="60" spans="2:9" ht="15.75" customHeight="1" x14ac:dyDescent="0.15">
      <c r="B60" s="277">
        <v>43</v>
      </c>
      <c r="C60" s="278" t="str">
        <f>IF(原価試算!C60="","",原価試算!C60)</f>
        <v/>
      </c>
      <c r="D60" s="279" t="str">
        <f>IF(原価試算!D60="","",原価試算!D60)</f>
        <v/>
      </c>
      <c r="E60" s="471" t="str">
        <f>IF(原価試算!E60="","",原価試算!E60)</f>
        <v/>
      </c>
      <c r="F60" s="472"/>
      <c r="G60" s="343" t="str">
        <f>IF(原価試算!H60="","",(原価試算!H60/(原価試算!$H$94+原価試算!$H$135))*$G$5)</f>
        <v/>
      </c>
      <c r="H60" s="293" t="str">
        <f>IF(原価試算!K60="","",(原価試算!K60/(原価試算!$K$94+原価試算!$K$135))*$H$5)</f>
        <v/>
      </c>
      <c r="I60" s="294" t="str">
        <f>IF(原価試算!N60="","",(原価試算!N60/(原価試算!$N$94+原価試算!$N$135))*$I$5)</f>
        <v/>
      </c>
    </row>
    <row r="61" spans="2:9" ht="15.75" customHeight="1" x14ac:dyDescent="0.15">
      <c r="B61" s="277">
        <v>44</v>
      </c>
      <c r="C61" s="278" t="str">
        <f>IF(原価試算!C61="","",原価試算!C61)</f>
        <v/>
      </c>
      <c r="D61" s="279" t="str">
        <f>IF(原価試算!D61="","",原価試算!D61)</f>
        <v/>
      </c>
      <c r="E61" s="471" t="str">
        <f>IF(原価試算!E61="","",原価試算!E61)</f>
        <v/>
      </c>
      <c r="F61" s="472"/>
      <c r="G61" s="343" t="str">
        <f>IF(原価試算!H61="","",(原価試算!H61/(原価試算!$H$94+原価試算!$H$135))*$G$5)</f>
        <v/>
      </c>
      <c r="H61" s="293" t="str">
        <f>IF(原価試算!K61="","",(原価試算!K61/(原価試算!$K$94+原価試算!$K$135))*$H$5)</f>
        <v/>
      </c>
      <c r="I61" s="294" t="str">
        <f>IF(原価試算!N61="","",(原価試算!N61/(原価試算!$N$94+原価試算!$N$135))*$I$5)</f>
        <v/>
      </c>
    </row>
    <row r="62" spans="2:9" ht="15.75" customHeight="1" x14ac:dyDescent="0.15">
      <c r="B62" s="277">
        <v>45</v>
      </c>
      <c r="C62" s="278" t="str">
        <f>IF(原価試算!C62="","",原価試算!C62)</f>
        <v/>
      </c>
      <c r="D62" s="279" t="str">
        <f>IF(原価試算!D62="","",原価試算!D62)</f>
        <v/>
      </c>
      <c r="E62" s="471" t="str">
        <f>IF(原価試算!E62="","",原価試算!E62)</f>
        <v/>
      </c>
      <c r="F62" s="472"/>
      <c r="G62" s="343" t="str">
        <f>IF(原価試算!H62="","",(原価試算!H62/(原価試算!$H$94+原価試算!$H$135))*$G$5)</f>
        <v/>
      </c>
      <c r="H62" s="293" t="str">
        <f>IF(原価試算!K62="","",(原価試算!K62/(原価試算!$K$94+原価試算!$K$135))*$H$5)</f>
        <v/>
      </c>
      <c r="I62" s="294" t="str">
        <f>IF(原価試算!N62="","",(原価試算!N62/(原価試算!$N$94+原価試算!$N$135))*$I$5)</f>
        <v/>
      </c>
    </row>
    <row r="63" spans="2:9" ht="15.75" customHeight="1" x14ac:dyDescent="0.15">
      <c r="B63" s="277">
        <v>46</v>
      </c>
      <c r="C63" s="278" t="str">
        <f>IF(原価試算!C63="","",原価試算!C63)</f>
        <v/>
      </c>
      <c r="D63" s="279" t="str">
        <f>IF(原価試算!D63="","",原価試算!D63)</f>
        <v/>
      </c>
      <c r="E63" s="471" t="str">
        <f>IF(原価試算!E63="","",原価試算!E63)</f>
        <v/>
      </c>
      <c r="F63" s="472"/>
      <c r="G63" s="343" t="str">
        <f>IF(原価試算!H63="","",(原価試算!H63/(原価試算!$H$94+原価試算!$H$135))*$G$5)</f>
        <v/>
      </c>
      <c r="H63" s="293" t="str">
        <f>IF(原価試算!K63="","",(原価試算!K63/(原価試算!$K$94+原価試算!$K$135))*$H$5)</f>
        <v/>
      </c>
      <c r="I63" s="294" t="str">
        <f>IF(原価試算!N63="","",(原価試算!N63/(原価試算!$N$94+原価試算!$N$135))*$I$5)</f>
        <v/>
      </c>
    </row>
    <row r="64" spans="2:9" ht="15.75" customHeight="1" x14ac:dyDescent="0.15">
      <c r="B64" s="277">
        <v>47</v>
      </c>
      <c r="C64" s="278" t="str">
        <f>IF(原価試算!C64="","",原価試算!C64)</f>
        <v/>
      </c>
      <c r="D64" s="279" t="str">
        <f>IF(原価試算!D64="","",原価試算!D64)</f>
        <v/>
      </c>
      <c r="E64" s="471" t="str">
        <f>IF(原価試算!E64="","",原価試算!E64)</f>
        <v/>
      </c>
      <c r="F64" s="472"/>
      <c r="G64" s="343" t="str">
        <f>IF(原価試算!H64="","",(原価試算!H64/(原価試算!$H$94+原価試算!$H$135))*$G$5)</f>
        <v/>
      </c>
      <c r="H64" s="293" t="str">
        <f>IF(原価試算!K64="","",(原価試算!K64/(原価試算!$K$94+原価試算!$K$135))*$H$5)</f>
        <v/>
      </c>
      <c r="I64" s="294" t="str">
        <f>IF(原価試算!N64="","",(原価試算!N64/(原価試算!$N$94+原価試算!$N$135))*$I$5)</f>
        <v/>
      </c>
    </row>
    <row r="65" spans="2:9" ht="15.75" customHeight="1" x14ac:dyDescent="0.15">
      <c r="B65" s="277">
        <v>48</v>
      </c>
      <c r="C65" s="278" t="str">
        <f>IF(原価試算!C65="","",原価試算!C65)</f>
        <v/>
      </c>
      <c r="D65" s="279" t="str">
        <f>IF(原価試算!D65="","",原価試算!D65)</f>
        <v/>
      </c>
      <c r="E65" s="471" t="str">
        <f>IF(原価試算!E65="","",原価試算!E65)</f>
        <v/>
      </c>
      <c r="F65" s="472"/>
      <c r="G65" s="343" t="str">
        <f>IF(原価試算!H65="","",(原価試算!H65/(原価試算!$H$94+原価試算!$H$135))*$G$5)</f>
        <v/>
      </c>
      <c r="H65" s="293" t="str">
        <f>IF(原価試算!K65="","",(原価試算!K65/(原価試算!$K$94+原価試算!$K$135))*$H$5)</f>
        <v/>
      </c>
      <c r="I65" s="294" t="str">
        <f>IF(原価試算!N65="","",(原価試算!N65/(原価試算!$N$94+原価試算!$N$135))*$I$5)</f>
        <v/>
      </c>
    </row>
    <row r="66" spans="2:9" ht="15.75" customHeight="1" x14ac:dyDescent="0.15">
      <c r="B66" s="277">
        <v>49</v>
      </c>
      <c r="C66" s="278" t="str">
        <f>IF(原価試算!C66="","",原価試算!C66)</f>
        <v/>
      </c>
      <c r="D66" s="279" t="str">
        <f>IF(原価試算!D66="","",原価試算!D66)</f>
        <v/>
      </c>
      <c r="E66" s="471" t="str">
        <f>IF(原価試算!E66="","",原価試算!E66)</f>
        <v/>
      </c>
      <c r="F66" s="472"/>
      <c r="G66" s="343" t="str">
        <f>IF(原価試算!H66="","",(原価試算!H66/(原価試算!$H$94+原価試算!$H$135))*$G$5)</f>
        <v/>
      </c>
      <c r="H66" s="293" t="str">
        <f>IF(原価試算!K66="","",(原価試算!K66/(原価試算!$K$94+原価試算!$K$135))*$H$5)</f>
        <v/>
      </c>
      <c r="I66" s="294" t="str">
        <f>IF(原価試算!N66="","",(原価試算!N66/(原価試算!$N$94+原価試算!$N$135))*$I$5)</f>
        <v/>
      </c>
    </row>
    <row r="67" spans="2:9" ht="15.75" customHeight="1" x14ac:dyDescent="0.15">
      <c r="B67" s="277">
        <v>50</v>
      </c>
      <c r="C67" s="278" t="str">
        <f>IF(原価試算!C67="","",原価試算!C67)</f>
        <v/>
      </c>
      <c r="D67" s="279" t="str">
        <f>IF(原価試算!D67="","",原価試算!D67)</f>
        <v/>
      </c>
      <c r="E67" s="471" t="str">
        <f>IF(原価試算!E67="","",原価試算!E67)</f>
        <v/>
      </c>
      <c r="F67" s="472"/>
      <c r="G67" s="343" t="str">
        <f>IF(原価試算!H67="","",(原価試算!H67/(原価試算!$H$94+原価試算!$H$135))*$G$5)</f>
        <v/>
      </c>
      <c r="H67" s="293" t="str">
        <f>IF(原価試算!K67="","",(原価試算!K67/(原価試算!$K$94+原価試算!$K$135))*$H$5)</f>
        <v/>
      </c>
      <c r="I67" s="294" t="str">
        <f>IF(原価試算!N67="","",(原価試算!N67/(原価試算!$N$94+原価試算!$N$135))*$I$5)</f>
        <v/>
      </c>
    </row>
    <row r="68" spans="2:9" ht="15.75" customHeight="1" x14ac:dyDescent="0.15">
      <c r="B68" s="277">
        <v>51</v>
      </c>
      <c r="C68" s="278" t="str">
        <f>IF(原価試算!C68="","",原価試算!C68)</f>
        <v/>
      </c>
      <c r="D68" s="279" t="str">
        <f>IF(原価試算!D68="","",原価試算!D68)</f>
        <v/>
      </c>
      <c r="E68" s="471" t="str">
        <f>IF(原価試算!E68="","",原価試算!E68)</f>
        <v/>
      </c>
      <c r="F68" s="472"/>
      <c r="G68" s="343" t="str">
        <f>IF(原価試算!H68="","",(原価試算!H68/(原価試算!$H$94+原価試算!$H$135))*$G$5)</f>
        <v/>
      </c>
      <c r="H68" s="293" t="str">
        <f>IF(原価試算!K68="","",(原価試算!K68/(原価試算!$K$94+原価試算!$K$135))*$H$5)</f>
        <v/>
      </c>
      <c r="I68" s="294" t="str">
        <f>IF(原価試算!N68="","",(原価試算!N68/(原価試算!$N$94+原価試算!$N$135))*$I$5)</f>
        <v/>
      </c>
    </row>
    <row r="69" spans="2:9" ht="15.75" customHeight="1" x14ac:dyDescent="0.15">
      <c r="B69" s="277">
        <v>52</v>
      </c>
      <c r="C69" s="278" t="str">
        <f>IF(原価試算!C69="","",原価試算!C69)</f>
        <v/>
      </c>
      <c r="D69" s="279" t="str">
        <f>IF(原価試算!D69="","",原価試算!D69)</f>
        <v/>
      </c>
      <c r="E69" s="471" t="str">
        <f>IF(原価試算!E69="","",原価試算!E69)</f>
        <v/>
      </c>
      <c r="F69" s="472"/>
      <c r="G69" s="343" t="str">
        <f>IF(原価試算!H69="","",(原価試算!H69/(原価試算!$H$94+原価試算!$H$135))*$G$5)</f>
        <v/>
      </c>
      <c r="H69" s="293" t="str">
        <f>IF(原価試算!K69="","",(原価試算!K69/(原価試算!$K$94+原価試算!$K$135))*$H$5)</f>
        <v/>
      </c>
      <c r="I69" s="294" t="str">
        <f>IF(原価試算!N69="","",(原価試算!N69/(原価試算!$N$94+原価試算!$N$135))*$I$5)</f>
        <v/>
      </c>
    </row>
    <row r="70" spans="2:9" ht="15.75" customHeight="1" x14ac:dyDescent="0.15">
      <c r="B70" s="277">
        <v>53</v>
      </c>
      <c r="C70" s="278" t="str">
        <f>IF(原価試算!C70="","",原価試算!C70)</f>
        <v/>
      </c>
      <c r="D70" s="279" t="str">
        <f>IF(原価試算!D70="","",原価試算!D70)</f>
        <v/>
      </c>
      <c r="E70" s="471" t="str">
        <f>IF(原価試算!E70="","",原価試算!E70)</f>
        <v/>
      </c>
      <c r="F70" s="472"/>
      <c r="G70" s="343" t="str">
        <f>IF(原価試算!H70="","",(原価試算!H70/(原価試算!$H$94+原価試算!$H$135))*$G$5)</f>
        <v/>
      </c>
      <c r="H70" s="293" t="str">
        <f>IF(原価試算!K70="","",(原価試算!K70/(原価試算!$K$94+原価試算!$K$135))*$H$5)</f>
        <v/>
      </c>
      <c r="I70" s="294" t="str">
        <f>IF(原価試算!N70="","",(原価試算!N70/(原価試算!$N$94+原価試算!$N$135))*$I$5)</f>
        <v/>
      </c>
    </row>
    <row r="71" spans="2:9" ht="15.75" customHeight="1" x14ac:dyDescent="0.15">
      <c r="B71" s="277">
        <v>54</v>
      </c>
      <c r="C71" s="278" t="str">
        <f>IF(原価試算!C71="","",原価試算!C71)</f>
        <v/>
      </c>
      <c r="D71" s="279" t="str">
        <f>IF(原価試算!D71="","",原価試算!D71)</f>
        <v/>
      </c>
      <c r="E71" s="471" t="str">
        <f>IF(原価試算!E71="","",原価試算!E71)</f>
        <v/>
      </c>
      <c r="F71" s="472"/>
      <c r="G71" s="343" t="str">
        <f>IF(原価試算!H71="","",(原価試算!H71/(原価試算!$H$94+原価試算!$H$135))*$G$5)</f>
        <v/>
      </c>
      <c r="H71" s="293" t="str">
        <f>IF(原価試算!K71="","",(原価試算!K71/(原価試算!$K$94+原価試算!$K$135))*$H$5)</f>
        <v/>
      </c>
      <c r="I71" s="294" t="str">
        <f>IF(原価試算!N71="","",(原価試算!N71/(原価試算!$N$94+原価試算!$N$135))*$I$5)</f>
        <v/>
      </c>
    </row>
    <row r="72" spans="2:9" ht="15.75" customHeight="1" x14ac:dyDescent="0.15">
      <c r="B72" s="277">
        <v>55</v>
      </c>
      <c r="C72" s="278" t="str">
        <f>IF(原価試算!C72="","",原価試算!C72)</f>
        <v/>
      </c>
      <c r="D72" s="279" t="str">
        <f>IF(原価試算!D72="","",原価試算!D72)</f>
        <v/>
      </c>
      <c r="E72" s="471" t="str">
        <f>IF(原価試算!E72="","",原価試算!E72)</f>
        <v/>
      </c>
      <c r="F72" s="472"/>
      <c r="G72" s="343" t="str">
        <f>IF(原価試算!H72="","",(原価試算!H72/(原価試算!$H$94+原価試算!$H$135))*$G$5)</f>
        <v/>
      </c>
      <c r="H72" s="293" t="str">
        <f>IF(原価試算!K72="","",(原価試算!K72/(原価試算!$K$94+原価試算!$K$135))*$H$5)</f>
        <v/>
      </c>
      <c r="I72" s="294" t="str">
        <f>IF(原価試算!N72="","",(原価試算!N72/(原価試算!$N$94+原価試算!$N$135))*$I$5)</f>
        <v/>
      </c>
    </row>
    <row r="73" spans="2:9" ht="15.75" customHeight="1" x14ac:dyDescent="0.15">
      <c r="B73" s="277">
        <v>56</v>
      </c>
      <c r="C73" s="278" t="str">
        <f>IF(原価試算!C73="","",原価試算!C73)</f>
        <v/>
      </c>
      <c r="D73" s="279" t="str">
        <f>IF(原価試算!D73="","",原価試算!D73)</f>
        <v/>
      </c>
      <c r="E73" s="471" t="str">
        <f>IF(原価試算!E73="","",原価試算!E73)</f>
        <v/>
      </c>
      <c r="F73" s="472"/>
      <c r="G73" s="343" t="str">
        <f>IF(原価試算!H73="","",(原価試算!H73/(原価試算!$H$94+原価試算!$H$135))*$G$5)</f>
        <v/>
      </c>
      <c r="H73" s="293" t="str">
        <f>IF(原価試算!K73="","",(原価試算!K73/(原価試算!$K$94+原価試算!$K$135))*$H$5)</f>
        <v/>
      </c>
      <c r="I73" s="294" t="str">
        <f>IF(原価試算!N73="","",(原価試算!N73/(原価試算!$N$94+原価試算!$N$135))*$I$5)</f>
        <v/>
      </c>
    </row>
    <row r="74" spans="2:9" ht="15.75" customHeight="1" x14ac:dyDescent="0.15">
      <c r="B74" s="277">
        <v>57</v>
      </c>
      <c r="C74" s="278" t="str">
        <f>IF(原価試算!C74="","",原価試算!C74)</f>
        <v/>
      </c>
      <c r="D74" s="279" t="str">
        <f>IF(原価試算!D74="","",原価試算!D74)</f>
        <v/>
      </c>
      <c r="E74" s="471" t="str">
        <f>IF(原価試算!E74="","",原価試算!E74)</f>
        <v/>
      </c>
      <c r="F74" s="472"/>
      <c r="G74" s="343" t="str">
        <f>IF(原価試算!H74="","",(原価試算!H74/(原価試算!$H$94+原価試算!$H$135))*$G$5)</f>
        <v/>
      </c>
      <c r="H74" s="293" t="str">
        <f>IF(原価試算!K74="","",(原価試算!K74/(原価試算!$K$94+原価試算!$K$135))*$H$5)</f>
        <v/>
      </c>
      <c r="I74" s="294" t="str">
        <f>IF(原価試算!N74="","",(原価試算!N74/(原価試算!$N$94+原価試算!$N$135))*$I$5)</f>
        <v/>
      </c>
    </row>
    <row r="75" spans="2:9" ht="15.75" customHeight="1" x14ac:dyDescent="0.15">
      <c r="B75" s="277">
        <v>58</v>
      </c>
      <c r="C75" s="278" t="str">
        <f>IF(原価試算!C75="","",原価試算!C75)</f>
        <v/>
      </c>
      <c r="D75" s="279" t="str">
        <f>IF(原価試算!D75="","",原価試算!D75)</f>
        <v/>
      </c>
      <c r="E75" s="471" t="str">
        <f>IF(原価試算!E75="","",原価試算!E75)</f>
        <v/>
      </c>
      <c r="F75" s="472"/>
      <c r="G75" s="343" t="str">
        <f>IF(原価試算!H75="","",(原価試算!H75/(原価試算!$H$94+原価試算!$H$135))*$G$5)</f>
        <v/>
      </c>
      <c r="H75" s="293" t="str">
        <f>IF(原価試算!K75="","",(原価試算!K75/(原価試算!$K$94+原価試算!$K$135))*$H$5)</f>
        <v/>
      </c>
      <c r="I75" s="294" t="str">
        <f>IF(原価試算!N75="","",(原価試算!N75/(原価試算!$N$94+原価試算!$N$135))*$I$5)</f>
        <v/>
      </c>
    </row>
    <row r="76" spans="2:9" ht="15.75" customHeight="1" x14ac:dyDescent="0.15">
      <c r="B76" s="277">
        <v>59</v>
      </c>
      <c r="C76" s="278" t="str">
        <f>IF(原価試算!C76="","",原価試算!C76)</f>
        <v/>
      </c>
      <c r="D76" s="279" t="str">
        <f>IF(原価試算!D76="","",原価試算!D76)</f>
        <v/>
      </c>
      <c r="E76" s="471" t="str">
        <f>IF(原価試算!E76="","",原価試算!E76)</f>
        <v/>
      </c>
      <c r="F76" s="472"/>
      <c r="G76" s="343" t="str">
        <f>IF(原価試算!H76="","",(原価試算!H76/(原価試算!$H$94+原価試算!$H$135))*$G$5)</f>
        <v/>
      </c>
      <c r="H76" s="293" t="str">
        <f>IF(原価試算!K76="","",(原価試算!K76/(原価試算!$K$94+原価試算!$K$135))*$H$5)</f>
        <v/>
      </c>
      <c r="I76" s="294" t="str">
        <f>IF(原価試算!N76="","",(原価試算!N76/(原価試算!$N$94+原価試算!$N$135))*$I$5)</f>
        <v/>
      </c>
    </row>
    <row r="77" spans="2:9" ht="15.75" customHeight="1" x14ac:dyDescent="0.15">
      <c r="B77" s="277">
        <v>60</v>
      </c>
      <c r="C77" s="278" t="str">
        <f>IF(原価試算!C77="","",原価試算!C77)</f>
        <v/>
      </c>
      <c r="D77" s="279" t="str">
        <f>IF(原価試算!D77="","",原価試算!D77)</f>
        <v/>
      </c>
      <c r="E77" s="471" t="str">
        <f>IF(原価試算!E77="","",原価試算!E77)</f>
        <v/>
      </c>
      <c r="F77" s="472"/>
      <c r="G77" s="343" t="str">
        <f>IF(原価試算!H77="","",(原価試算!H77/(原価試算!$H$94+原価試算!$H$135))*$G$5)</f>
        <v/>
      </c>
      <c r="H77" s="293" t="str">
        <f>IF(原価試算!K77="","",(原価試算!K77/(原価試算!$K$94+原価試算!$K$135))*$H$5)</f>
        <v/>
      </c>
      <c r="I77" s="294" t="str">
        <f>IF(原価試算!N77="","",(原価試算!N77/(原価試算!$N$94+原価試算!$N$135))*$I$5)</f>
        <v/>
      </c>
    </row>
    <row r="78" spans="2:9" ht="15.75" customHeight="1" x14ac:dyDescent="0.15">
      <c r="B78" s="277">
        <v>61</v>
      </c>
      <c r="C78" s="278" t="str">
        <f>IF(原価試算!C78="","",原価試算!C78)</f>
        <v/>
      </c>
      <c r="D78" s="279" t="str">
        <f>IF(原価試算!D78="","",原価試算!D78)</f>
        <v/>
      </c>
      <c r="E78" s="471" t="str">
        <f>IF(原価試算!E78="","",原価試算!E78)</f>
        <v/>
      </c>
      <c r="F78" s="472"/>
      <c r="G78" s="343" t="str">
        <f>IF(原価試算!H78="","",(原価試算!H78/(原価試算!$H$94+原価試算!$H$135))*$G$5)</f>
        <v/>
      </c>
      <c r="H78" s="293" t="str">
        <f>IF(原価試算!K78="","",(原価試算!K78/(原価試算!$K$94+原価試算!$K$135))*$H$5)</f>
        <v/>
      </c>
      <c r="I78" s="294" t="str">
        <f>IF(原価試算!N78="","",(原価試算!N78/(原価試算!$N$94+原価試算!$N$135))*$I$5)</f>
        <v/>
      </c>
    </row>
    <row r="79" spans="2:9" ht="15.75" customHeight="1" x14ac:dyDescent="0.15">
      <c r="B79" s="277">
        <v>62</v>
      </c>
      <c r="C79" s="278" t="str">
        <f>IF(原価試算!C79="","",原価試算!C79)</f>
        <v/>
      </c>
      <c r="D79" s="279" t="str">
        <f>IF(原価試算!D79="","",原価試算!D79)</f>
        <v/>
      </c>
      <c r="E79" s="471" t="str">
        <f>IF(原価試算!E79="","",原価試算!E79)</f>
        <v/>
      </c>
      <c r="F79" s="472"/>
      <c r="G79" s="343" t="str">
        <f>IF(原価試算!H79="","",(原価試算!H79/(原価試算!$H$94+原価試算!$H$135))*$G$5)</f>
        <v/>
      </c>
      <c r="H79" s="293" t="str">
        <f>IF(原価試算!K79="","",(原価試算!K79/(原価試算!$K$94+原価試算!$K$135))*$H$5)</f>
        <v/>
      </c>
      <c r="I79" s="294" t="str">
        <f>IF(原価試算!N79="","",(原価試算!N79/(原価試算!$N$94+原価試算!$N$135))*$I$5)</f>
        <v/>
      </c>
    </row>
    <row r="80" spans="2:9" ht="15.75" customHeight="1" x14ac:dyDescent="0.15">
      <c r="B80" s="277">
        <v>63</v>
      </c>
      <c r="C80" s="278" t="str">
        <f>IF(原価試算!C80="","",原価試算!C80)</f>
        <v/>
      </c>
      <c r="D80" s="279" t="str">
        <f>IF(原価試算!D80="","",原価試算!D80)</f>
        <v/>
      </c>
      <c r="E80" s="471" t="str">
        <f>IF(原価試算!E80="","",原価試算!E80)</f>
        <v/>
      </c>
      <c r="F80" s="472"/>
      <c r="G80" s="343" t="str">
        <f>IF(原価試算!H80="","",(原価試算!H80/(原価試算!$H$94+原価試算!$H$135))*$G$5)</f>
        <v/>
      </c>
      <c r="H80" s="293" t="str">
        <f>IF(原価試算!K80="","",(原価試算!K80/(原価試算!$K$94+原価試算!$K$135))*$H$5)</f>
        <v/>
      </c>
      <c r="I80" s="294" t="str">
        <f>IF(原価試算!N80="","",(原価試算!N80/(原価試算!$N$94+原価試算!$N$135))*$I$5)</f>
        <v/>
      </c>
    </row>
    <row r="81" spans="2:9" ht="15.75" customHeight="1" x14ac:dyDescent="0.15">
      <c r="B81" s="277">
        <v>64</v>
      </c>
      <c r="C81" s="278" t="str">
        <f>IF(原価試算!C81="","",原価試算!C81)</f>
        <v/>
      </c>
      <c r="D81" s="279" t="str">
        <f>IF(原価試算!D81="","",原価試算!D81)</f>
        <v/>
      </c>
      <c r="E81" s="471" t="str">
        <f>IF(原価試算!E81="","",原価試算!E81)</f>
        <v/>
      </c>
      <c r="F81" s="472"/>
      <c r="G81" s="343" t="str">
        <f>IF(原価試算!H81="","",(原価試算!H81/(原価試算!$H$94+原価試算!$H$135))*$G$5)</f>
        <v/>
      </c>
      <c r="H81" s="293" t="str">
        <f>IF(原価試算!K81="","",(原価試算!K81/(原価試算!$K$94+原価試算!$K$135))*$H$5)</f>
        <v/>
      </c>
      <c r="I81" s="294" t="str">
        <f>IF(原価試算!N81="","",(原価試算!N81/(原価試算!$N$94+原価試算!$N$135))*$I$5)</f>
        <v/>
      </c>
    </row>
    <row r="82" spans="2:9" ht="15.75" customHeight="1" x14ac:dyDescent="0.15">
      <c r="B82" s="277">
        <v>65</v>
      </c>
      <c r="C82" s="278" t="str">
        <f>IF(原価試算!C82="","",原価試算!C82)</f>
        <v/>
      </c>
      <c r="D82" s="279" t="str">
        <f>IF(原価試算!D82="","",原価試算!D82)</f>
        <v/>
      </c>
      <c r="E82" s="471" t="str">
        <f>IF(原価試算!E82="","",原価試算!E82)</f>
        <v/>
      </c>
      <c r="F82" s="472"/>
      <c r="G82" s="343" t="str">
        <f>IF(原価試算!H82="","",(原価試算!H82/(原価試算!$H$94+原価試算!$H$135))*$G$5)</f>
        <v/>
      </c>
      <c r="H82" s="293" t="str">
        <f>IF(原価試算!K82="","",(原価試算!K82/(原価試算!$K$94+原価試算!$K$135))*$H$5)</f>
        <v/>
      </c>
      <c r="I82" s="294" t="str">
        <f>IF(原価試算!N82="","",(原価試算!N82/(原価試算!$N$94+原価試算!$N$135))*$I$5)</f>
        <v/>
      </c>
    </row>
    <row r="83" spans="2:9" ht="15.75" customHeight="1" x14ac:dyDescent="0.15">
      <c r="B83" s="277">
        <v>66</v>
      </c>
      <c r="C83" s="278" t="str">
        <f>IF(原価試算!C83="","",原価試算!C83)</f>
        <v/>
      </c>
      <c r="D83" s="279" t="str">
        <f>IF(原価試算!D83="","",原価試算!D83)</f>
        <v/>
      </c>
      <c r="E83" s="471" t="str">
        <f>IF(原価試算!E83="","",原価試算!E83)</f>
        <v/>
      </c>
      <c r="F83" s="472"/>
      <c r="G83" s="343" t="str">
        <f>IF(原価試算!H83="","",(原価試算!H83/(原価試算!$H$94+原価試算!$H$135))*$G$5)</f>
        <v/>
      </c>
      <c r="H83" s="293" t="str">
        <f>IF(原価試算!K83="","",(原価試算!K83/(原価試算!$K$94+原価試算!$K$135))*$H$5)</f>
        <v/>
      </c>
      <c r="I83" s="294" t="str">
        <f>IF(原価試算!N83="","",(原価試算!N83/(原価試算!$N$94+原価試算!$N$135))*$I$5)</f>
        <v/>
      </c>
    </row>
    <row r="84" spans="2:9" ht="15.75" customHeight="1" x14ac:dyDescent="0.15">
      <c r="B84" s="277">
        <v>67</v>
      </c>
      <c r="C84" s="278" t="str">
        <f>IF(原価試算!C84="","",原価試算!C84)</f>
        <v/>
      </c>
      <c r="D84" s="279" t="str">
        <f>IF(原価試算!D84="","",原価試算!D84)</f>
        <v/>
      </c>
      <c r="E84" s="471" t="str">
        <f>IF(原価試算!E84="","",原価試算!E84)</f>
        <v/>
      </c>
      <c r="F84" s="472"/>
      <c r="G84" s="343" t="str">
        <f>IF(原価試算!H84="","",(原価試算!H84/(原価試算!$H$94+原価試算!$H$135))*$G$5)</f>
        <v/>
      </c>
      <c r="H84" s="293" t="str">
        <f>IF(原価試算!K84="","",(原価試算!K84/(原価試算!$K$94+原価試算!$K$135))*$H$5)</f>
        <v/>
      </c>
      <c r="I84" s="294" t="str">
        <f>IF(原価試算!N84="","",(原価試算!N84/(原価試算!$N$94+原価試算!$N$135))*$I$5)</f>
        <v/>
      </c>
    </row>
    <row r="85" spans="2:9" ht="15.75" customHeight="1" x14ac:dyDescent="0.15">
      <c r="B85" s="277">
        <v>68</v>
      </c>
      <c r="C85" s="278" t="str">
        <f>IF(原価試算!C85="","",原価試算!C85)</f>
        <v/>
      </c>
      <c r="D85" s="279" t="str">
        <f>IF(原価試算!D85="","",原価試算!D85)</f>
        <v/>
      </c>
      <c r="E85" s="471" t="str">
        <f>IF(原価試算!E85="","",原価試算!E85)</f>
        <v/>
      </c>
      <c r="F85" s="472"/>
      <c r="G85" s="343" t="str">
        <f>IF(原価試算!H85="","",(原価試算!H85/(原価試算!$H$94+原価試算!$H$135))*$G$5)</f>
        <v/>
      </c>
      <c r="H85" s="293" t="str">
        <f>IF(原価試算!K85="","",(原価試算!K85/(原価試算!$K$94+原価試算!$K$135))*$H$5)</f>
        <v/>
      </c>
      <c r="I85" s="294" t="str">
        <f>IF(原価試算!N85="","",(原価試算!N85/(原価試算!$N$94+原価試算!$N$135))*$I$5)</f>
        <v/>
      </c>
    </row>
    <row r="86" spans="2:9" ht="15.75" customHeight="1" x14ac:dyDescent="0.15">
      <c r="B86" s="277">
        <v>69</v>
      </c>
      <c r="C86" s="278" t="str">
        <f>IF(原価試算!C86="","",原価試算!C86)</f>
        <v/>
      </c>
      <c r="D86" s="279" t="str">
        <f>IF(原価試算!D86="","",原価試算!D86)</f>
        <v/>
      </c>
      <c r="E86" s="471" t="str">
        <f>IF(原価試算!E86="","",原価試算!E86)</f>
        <v/>
      </c>
      <c r="F86" s="472"/>
      <c r="G86" s="343" t="str">
        <f>IF(原価試算!H86="","",(原価試算!H86/(原価試算!$H$94+原価試算!$H$135))*$G$5)</f>
        <v/>
      </c>
      <c r="H86" s="293" t="str">
        <f>IF(原価試算!K86="","",(原価試算!K86/(原価試算!$K$94+原価試算!$K$135))*$H$5)</f>
        <v/>
      </c>
      <c r="I86" s="294" t="str">
        <f>IF(原価試算!N86="","",(原価試算!N86/(原価試算!$N$94+原価試算!$N$135))*$I$5)</f>
        <v/>
      </c>
    </row>
    <row r="87" spans="2:9" ht="15.75" customHeight="1" x14ac:dyDescent="0.15">
      <c r="B87" s="277">
        <v>70</v>
      </c>
      <c r="C87" s="278" t="str">
        <f>IF(原価試算!C87="","",原価試算!C87)</f>
        <v/>
      </c>
      <c r="D87" s="279" t="str">
        <f>IF(原価試算!D87="","",原価試算!D87)</f>
        <v/>
      </c>
      <c r="E87" s="471" t="str">
        <f>IF(原価試算!E87="","",原価試算!E87)</f>
        <v/>
      </c>
      <c r="F87" s="472"/>
      <c r="G87" s="343" t="str">
        <f>IF(原価試算!H87="","",(原価試算!H87/(原価試算!$H$94+原価試算!$H$135))*$G$5)</f>
        <v/>
      </c>
      <c r="H87" s="293" t="str">
        <f>IF(原価試算!K87="","",(原価試算!K87/(原価試算!$K$94+原価試算!$K$135))*$H$5)</f>
        <v/>
      </c>
      <c r="I87" s="294" t="str">
        <f>IF(原価試算!N87="","",(原価試算!N87/(原価試算!$N$94+原価試算!$N$135))*$I$5)</f>
        <v/>
      </c>
    </row>
    <row r="88" spans="2:9" ht="15.75" customHeight="1" x14ac:dyDescent="0.15">
      <c r="B88" s="277">
        <v>71</v>
      </c>
      <c r="C88" s="278" t="str">
        <f>IF(原価試算!C88="","",原価試算!C88)</f>
        <v/>
      </c>
      <c r="D88" s="279" t="str">
        <f>IF(原価試算!D88="","",原価試算!D88)</f>
        <v/>
      </c>
      <c r="E88" s="471" t="str">
        <f>IF(原価試算!E88="","",原価試算!E88)</f>
        <v/>
      </c>
      <c r="F88" s="472"/>
      <c r="G88" s="343" t="str">
        <f>IF(原価試算!H88="","",(原価試算!H88/(原価試算!$H$94+原価試算!$H$135))*$G$5)</f>
        <v/>
      </c>
      <c r="H88" s="293" t="str">
        <f>IF(原価試算!K88="","",(原価試算!K88/(原価試算!$K$94+原価試算!$K$135))*$H$5)</f>
        <v/>
      </c>
      <c r="I88" s="294" t="str">
        <f>IF(原価試算!N88="","",(原価試算!N88/(原価試算!$N$94+原価試算!$N$135))*$I$5)</f>
        <v/>
      </c>
    </row>
    <row r="89" spans="2:9" ht="15.75" customHeight="1" x14ac:dyDescent="0.15">
      <c r="B89" s="277">
        <v>72</v>
      </c>
      <c r="C89" s="278" t="str">
        <f>IF(原価試算!C89="","",原価試算!C89)</f>
        <v/>
      </c>
      <c r="D89" s="279" t="str">
        <f>IF(原価試算!D89="","",原価試算!D89)</f>
        <v/>
      </c>
      <c r="E89" s="471" t="str">
        <f>IF(原価試算!E89="","",原価試算!E89)</f>
        <v/>
      </c>
      <c r="F89" s="472"/>
      <c r="G89" s="343" t="str">
        <f>IF(原価試算!H89="","",(原価試算!H89/(原価試算!$H$94+原価試算!$H$135))*$G$5)</f>
        <v/>
      </c>
      <c r="H89" s="293" t="str">
        <f>IF(原価試算!K89="","",(原価試算!K89/(原価試算!$K$94+原価試算!$K$135))*$H$5)</f>
        <v/>
      </c>
      <c r="I89" s="294" t="str">
        <f>IF(原価試算!N89="","",(原価試算!N89/(原価試算!$N$94+原価試算!$N$135))*$I$5)</f>
        <v/>
      </c>
    </row>
    <row r="90" spans="2:9" ht="15.75" customHeight="1" x14ac:dyDescent="0.15">
      <c r="B90" s="277">
        <v>73</v>
      </c>
      <c r="C90" s="278" t="str">
        <f>IF(原価試算!C90="","",原価試算!C90)</f>
        <v/>
      </c>
      <c r="D90" s="279" t="str">
        <f>IF(原価試算!D90="","",原価試算!D90)</f>
        <v/>
      </c>
      <c r="E90" s="471" t="str">
        <f>IF(原価試算!E90="","",原価試算!E90)</f>
        <v/>
      </c>
      <c r="F90" s="472"/>
      <c r="G90" s="343" t="str">
        <f>IF(原価試算!H90="","",(原価試算!H90/(原価試算!$H$94+原価試算!$H$135))*$G$5)</f>
        <v/>
      </c>
      <c r="H90" s="293" t="str">
        <f>IF(原価試算!K90="","",(原価試算!K90/(原価試算!$K$94+原価試算!$K$135))*$H$5)</f>
        <v/>
      </c>
      <c r="I90" s="294" t="str">
        <f>IF(原価試算!N90="","",(原価試算!N90/(原価試算!$N$94+原価試算!$N$135))*$I$5)</f>
        <v/>
      </c>
    </row>
    <row r="91" spans="2:9" ht="15.75" customHeight="1" x14ac:dyDescent="0.15">
      <c r="B91" s="277">
        <v>74</v>
      </c>
      <c r="C91" s="278" t="str">
        <f>IF(原価試算!C91="","",原価試算!C91)</f>
        <v/>
      </c>
      <c r="D91" s="279" t="str">
        <f>IF(原価試算!D91="","",原価試算!D91)</f>
        <v/>
      </c>
      <c r="E91" s="471" t="str">
        <f>IF(原価試算!E91="","",原価試算!E91)</f>
        <v/>
      </c>
      <c r="F91" s="472"/>
      <c r="G91" s="343" t="str">
        <f>IF(原価試算!H91="","",(原価試算!H91/(原価試算!$H$94+原価試算!$H$135))*$G$5)</f>
        <v/>
      </c>
      <c r="H91" s="293" t="str">
        <f>IF(原価試算!K91="","",(原価試算!K91/(原価試算!$K$94+原価試算!$K$135))*$H$5)</f>
        <v/>
      </c>
      <c r="I91" s="294" t="str">
        <f>IF(原価試算!N91="","",(原価試算!N91/(原価試算!$N$94+原価試算!$N$135))*$I$5)</f>
        <v/>
      </c>
    </row>
    <row r="92" spans="2:9" ht="15.75" customHeight="1" x14ac:dyDescent="0.15">
      <c r="B92" s="277">
        <v>75</v>
      </c>
      <c r="C92" s="278" t="str">
        <f>IF(原価試算!C92="","",原価試算!C92)</f>
        <v/>
      </c>
      <c r="D92" s="279" t="str">
        <f>IF(原価試算!D92="","",原価試算!D92)</f>
        <v/>
      </c>
      <c r="E92" s="471" t="str">
        <f>IF(原価試算!E92="","",原価試算!E92)</f>
        <v/>
      </c>
      <c r="F92" s="472"/>
      <c r="G92" s="343" t="str">
        <f>IF(原価試算!H92="","",(原価試算!H92/(原価試算!$H$94+原価試算!$H$135))*$G$5)</f>
        <v/>
      </c>
      <c r="H92" s="293" t="str">
        <f>IF(原価試算!K92="","",(原価試算!K92/(原価試算!$K$94+原価試算!$K$135))*$H$5)</f>
        <v/>
      </c>
      <c r="I92" s="294" t="str">
        <f>IF(原価試算!N92="","",(原価試算!N92/(原価試算!$N$94+原価試算!$N$135))*$I$5)</f>
        <v/>
      </c>
    </row>
    <row r="93" spans="2:9" ht="15.75" customHeight="1" x14ac:dyDescent="0.15">
      <c r="B93" s="277">
        <v>76</v>
      </c>
      <c r="C93" s="278" t="str">
        <f>IF(原価試算!C93="","",原価試算!C93)</f>
        <v/>
      </c>
      <c r="D93" s="279" t="str">
        <f>IF(原価試算!D93="","",原価試算!D93)</f>
        <v/>
      </c>
      <c r="E93" s="471" t="str">
        <f>IF(原価試算!E93="","",原価試算!E93)</f>
        <v/>
      </c>
      <c r="F93" s="472"/>
      <c r="G93" s="343" t="str">
        <f>IF(原価試算!H93="","",(原価試算!H93/(原価試算!$H$94+原価試算!$H$135))*$G$5)</f>
        <v/>
      </c>
      <c r="H93" s="293" t="str">
        <f>IF(原価試算!K93="","",(原価試算!K93/(原価試算!$K$94+原価試算!$K$135))*$H$5)</f>
        <v/>
      </c>
      <c r="I93" s="294" t="str">
        <f>IF(原価試算!N93="","",(原価試算!N93/(原価試算!$N$94+原価試算!$N$135))*$I$5)</f>
        <v/>
      </c>
    </row>
    <row r="94" spans="2:9" ht="15.75" customHeight="1" thickBot="1" x14ac:dyDescent="0.2">
      <c r="B94" s="280"/>
      <c r="C94" s="281"/>
      <c r="D94" s="281"/>
      <c r="E94" s="476" t="s">
        <v>316</v>
      </c>
      <c r="F94" s="477"/>
      <c r="G94" s="295"/>
      <c r="H94" s="296"/>
      <c r="I94" s="297"/>
    </row>
    <row r="95" spans="2:9" ht="15.75" customHeight="1" x14ac:dyDescent="0.15">
      <c r="B95" s="285"/>
      <c r="C95" s="286"/>
      <c r="D95" s="286"/>
      <c r="E95" s="478" t="s">
        <v>317</v>
      </c>
      <c r="F95" s="479"/>
      <c r="G95" s="298"/>
      <c r="H95" s="299"/>
      <c r="I95" s="300"/>
    </row>
    <row r="96" spans="2:9" ht="15.75" customHeight="1" x14ac:dyDescent="0.15">
      <c r="B96" s="277">
        <v>77</v>
      </c>
      <c r="C96" s="278" t="str">
        <f>IF(原価試算!C96="","",原価試算!C96)</f>
        <v/>
      </c>
      <c r="D96" s="279" t="str">
        <f>IF(原価試算!D96="","",原価試算!D96)</f>
        <v/>
      </c>
      <c r="E96" s="471" t="str">
        <f>IF(原価試算!E96="","",原価試算!E96)</f>
        <v/>
      </c>
      <c r="F96" s="472"/>
      <c r="G96" s="301" t="str">
        <f>IF(原価試算!H96="","",(原価試算!H96/(原価試算!$H$94+原価試算!$H$135))*$G$5)</f>
        <v/>
      </c>
      <c r="H96" s="293" t="str">
        <f>IF(原価試算!K96="","",(原価試算!K96/(原価試算!$K$94+原価試算!$K$135))*$H$5)</f>
        <v/>
      </c>
      <c r="I96" s="302" t="str">
        <f>IF(原価試算!N96="","",(原価試算!N96/(原価試算!$N$94+原価試算!$N$135))*$I$5)</f>
        <v/>
      </c>
    </row>
    <row r="97" spans="2:9" ht="15.75" customHeight="1" x14ac:dyDescent="0.15">
      <c r="B97" s="277">
        <v>78</v>
      </c>
      <c r="C97" s="278" t="str">
        <f>IF(原価試算!C97="","",原価試算!C97)</f>
        <v/>
      </c>
      <c r="D97" s="279" t="str">
        <f>IF(原価試算!D97="","",原価試算!D97)</f>
        <v/>
      </c>
      <c r="E97" s="471" t="str">
        <f>IF(原価試算!E97="","",原価試算!E97)</f>
        <v/>
      </c>
      <c r="F97" s="472"/>
      <c r="G97" s="301" t="str">
        <f>IF(原価試算!H97="","",(原価試算!H97/(原価試算!$H$94+原価試算!$H$135))*$G$5)</f>
        <v/>
      </c>
      <c r="H97" s="293" t="str">
        <f>IF(原価試算!K97="","",(原価試算!K97/(原価試算!$K$94+原価試算!$K$135))*$H$5)</f>
        <v/>
      </c>
      <c r="I97" s="302" t="str">
        <f>IF(原価試算!N97="","",(原価試算!N97/(原価試算!$N$94+原価試算!$N$135))*$I$5)</f>
        <v/>
      </c>
    </row>
    <row r="98" spans="2:9" ht="15.75" customHeight="1" x14ac:dyDescent="0.15">
      <c r="B98" s="277">
        <v>79</v>
      </c>
      <c r="C98" s="278" t="str">
        <f>IF(原価試算!C98="","",原価試算!C98)</f>
        <v/>
      </c>
      <c r="D98" s="279" t="str">
        <f>IF(原価試算!D98="","",原価試算!D98)</f>
        <v/>
      </c>
      <c r="E98" s="471" t="str">
        <f>IF(原価試算!E98="","",原価試算!E98)</f>
        <v/>
      </c>
      <c r="F98" s="472"/>
      <c r="G98" s="301" t="str">
        <f>IF(原価試算!H98="","",(原価試算!H98/(原価試算!$H$94+原価試算!$H$135))*$G$5)</f>
        <v/>
      </c>
      <c r="H98" s="293" t="str">
        <f>IF(原価試算!K98="","",(原価試算!K98/(原価試算!$K$94+原価試算!$K$135))*$H$5)</f>
        <v/>
      </c>
      <c r="I98" s="302" t="str">
        <f>IF(原価試算!N98="","",(原価試算!N98/(原価試算!$N$94+原価試算!$N$135))*$I$5)</f>
        <v/>
      </c>
    </row>
    <row r="99" spans="2:9" ht="15.75" customHeight="1" x14ac:dyDescent="0.15">
      <c r="B99" s="277">
        <v>80</v>
      </c>
      <c r="C99" s="278" t="str">
        <f>IF(原価試算!C99="","",原価試算!C99)</f>
        <v/>
      </c>
      <c r="D99" s="279" t="str">
        <f>IF(原価試算!D99="","",原価試算!D99)</f>
        <v/>
      </c>
      <c r="E99" s="471" t="str">
        <f>IF(原価試算!E99="","",原価試算!E99)</f>
        <v/>
      </c>
      <c r="F99" s="472"/>
      <c r="G99" s="301" t="str">
        <f>IF(原価試算!H99="","",(原価試算!H99/(原価試算!$H$94+原価試算!$H$135))*$G$5)</f>
        <v/>
      </c>
      <c r="H99" s="293" t="str">
        <f>IF(原価試算!K99="","",(原価試算!K99/(原価試算!$K$94+原価試算!$K$135))*$H$5)</f>
        <v/>
      </c>
      <c r="I99" s="302" t="str">
        <f>IF(原価試算!N99="","",(原価試算!N99/(原価試算!$N$94+原価試算!$N$135))*$I$5)</f>
        <v/>
      </c>
    </row>
    <row r="100" spans="2:9" ht="15.75" customHeight="1" x14ac:dyDescent="0.15">
      <c r="B100" s="277">
        <v>81</v>
      </c>
      <c r="C100" s="278" t="str">
        <f>IF(原価試算!C100="","",原価試算!C100)</f>
        <v/>
      </c>
      <c r="D100" s="279" t="str">
        <f>IF(原価試算!D100="","",原価試算!D100)</f>
        <v/>
      </c>
      <c r="E100" s="471" t="str">
        <f>IF(原価試算!E100="","",原価試算!E100)</f>
        <v/>
      </c>
      <c r="F100" s="472"/>
      <c r="G100" s="301" t="str">
        <f>IF(原価試算!H100="","",(原価試算!H100/(原価試算!$H$94+原価試算!$H$135))*$G$5)</f>
        <v/>
      </c>
      <c r="H100" s="293" t="str">
        <f>IF(原価試算!K100="","",(原価試算!K100/(原価試算!$K$94+原価試算!$K$135))*$H$5)</f>
        <v/>
      </c>
      <c r="I100" s="302" t="str">
        <f>IF(原価試算!N100="","",(原価試算!N100/(原価試算!$N$94+原価試算!$N$135))*$I$5)</f>
        <v/>
      </c>
    </row>
    <row r="101" spans="2:9" ht="15.75" customHeight="1" x14ac:dyDescent="0.15">
      <c r="B101" s="277">
        <v>82</v>
      </c>
      <c r="C101" s="278" t="str">
        <f>IF(原価試算!C101="","",原価試算!C101)</f>
        <v/>
      </c>
      <c r="D101" s="279" t="str">
        <f>IF(原価試算!D101="","",原価試算!D101)</f>
        <v/>
      </c>
      <c r="E101" s="471" t="str">
        <f>IF(原価試算!E101="","",原価試算!E101)</f>
        <v/>
      </c>
      <c r="F101" s="472"/>
      <c r="G101" s="301" t="str">
        <f>IF(原価試算!H101="","",(原価試算!H101/(原価試算!$H$94+原価試算!$H$135))*$G$5)</f>
        <v/>
      </c>
      <c r="H101" s="293" t="str">
        <f>IF(原価試算!K101="","",(原価試算!K101/(原価試算!$K$94+原価試算!$K$135))*$H$5)</f>
        <v/>
      </c>
      <c r="I101" s="302" t="str">
        <f>IF(原価試算!N101="","",(原価試算!N101/(原価試算!$N$94+原価試算!$N$135))*$I$5)</f>
        <v/>
      </c>
    </row>
    <row r="102" spans="2:9" ht="15.75" customHeight="1" x14ac:dyDescent="0.15">
      <c r="B102" s="277">
        <v>83</v>
      </c>
      <c r="C102" s="278" t="str">
        <f>IF(原価試算!C102="","",原価試算!C102)</f>
        <v/>
      </c>
      <c r="D102" s="279" t="str">
        <f>IF(原価試算!D102="","",原価試算!D102)</f>
        <v/>
      </c>
      <c r="E102" s="471" t="str">
        <f>IF(原価試算!E102="","",原価試算!E102)</f>
        <v/>
      </c>
      <c r="F102" s="472"/>
      <c r="G102" s="301" t="str">
        <f>IF(原価試算!H102="","",(原価試算!H102/(原価試算!$H$94+原価試算!$H$135))*$G$5)</f>
        <v/>
      </c>
      <c r="H102" s="293" t="str">
        <f>IF(原価試算!K102="","",(原価試算!K102/(原価試算!$K$94+原価試算!$K$135))*$H$5)</f>
        <v/>
      </c>
      <c r="I102" s="302" t="str">
        <f>IF(原価試算!N102="","",(原価試算!N102/(原価試算!$N$94+原価試算!$N$135))*$I$5)</f>
        <v/>
      </c>
    </row>
    <row r="103" spans="2:9" ht="15.75" customHeight="1" x14ac:dyDescent="0.15">
      <c r="B103" s="277">
        <v>84</v>
      </c>
      <c r="C103" s="278" t="str">
        <f>IF(原価試算!C103="","",原価試算!C103)</f>
        <v/>
      </c>
      <c r="D103" s="279" t="str">
        <f>IF(原価試算!D103="","",原価試算!D103)</f>
        <v/>
      </c>
      <c r="E103" s="471" t="str">
        <f>IF(原価試算!E103="","",原価試算!E103)</f>
        <v/>
      </c>
      <c r="F103" s="472"/>
      <c r="G103" s="301" t="str">
        <f>IF(原価試算!H103="","",(原価試算!H103/(原価試算!$H$94+原価試算!$H$135))*$G$5)</f>
        <v/>
      </c>
      <c r="H103" s="293" t="str">
        <f>IF(原価試算!K103="","",(原価試算!K103/(原価試算!$K$94+原価試算!$K$135))*$H$5)</f>
        <v/>
      </c>
      <c r="I103" s="302" t="str">
        <f>IF(原価試算!N103="","",(原価試算!N103/(原価試算!$N$94+原価試算!$N$135))*$I$5)</f>
        <v/>
      </c>
    </row>
    <row r="104" spans="2:9" ht="15.75" customHeight="1" x14ac:dyDescent="0.15">
      <c r="B104" s="277">
        <v>85</v>
      </c>
      <c r="C104" s="278" t="str">
        <f>IF(原価試算!C104="","",原価試算!C104)</f>
        <v/>
      </c>
      <c r="D104" s="279" t="str">
        <f>IF(原価試算!D104="","",原価試算!D104)</f>
        <v/>
      </c>
      <c r="E104" s="471" t="str">
        <f>IF(原価試算!E104="","",原価試算!E104)</f>
        <v/>
      </c>
      <c r="F104" s="472"/>
      <c r="G104" s="301" t="str">
        <f>IF(原価試算!H104="","",(原価試算!H104/(原価試算!$H$94+原価試算!$H$135))*$G$5)</f>
        <v/>
      </c>
      <c r="H104" s="293" t="str">
        <f>IF(原価試算!K104="","",(原価試算!K104/(原価試算!$K$94+原価試算!$K$135))*$H$5)</f>
        <v/>
      </c>
      <c r="I104" s="302" t="str">
        <f>IF(原価試算!N104="","",(原価試算!N104/(原価試算!$N$94+原価試算!$N$135))*$I$5)</f>
        <v/>
      </c>
    </row>
    <row r="105" spans="2:9" ht="15.75" customHeight="1" x14ac:dyDescent="0.15">
      <c r="B105" s="277">
        <v>86</v>
      </c>
      <c r="C105" s="278" t="str">
        <f>IF(原価試算!C105="","",原価試算!C105)</f>
        <v/>
      </c>
      <c r="D105" s="279" t="str">
        <f>IF(原価試算!D105="","",原価試算!D105)</f>
        <v/>
      </c>
      <c r="E105" s="471" t="str">
        <f>IF(原価試算!E105="","",原価試算!E105)</f>
        <v/>
      </c>
      <c r="F105" s="472"/>
      <c r="G105" s="301" t="str">
        <f>IF(原価試算!H105="","",(原価試算!H105/(原価試算!$H$94+原価試算!$H$135))*$G$5)</f>
        <v/>
      </c>
      <c r="H105" s="293" t="str">
        <f>IF(原価試算!K105="","",(原価試算!K105/(原価試算!$K$94+原価試算!$K$135))*$H$5)</f>
        <v/>
      </c>
      <c r="I105" s="302" t="str">
        <f>IF(原価試算!N105="","",(原価試算!N105/(原価試算!$N$94+原価試算!$N$135))*$I$5)</f>
        <v/>
      </c>
    </row>
    <row r="106" spans="2:9" ht="15.75" customHeight="1" x14ac:dyDescent="0.15">
      <c r="B106" s="277">
        <v>87</v>
      </c>
      <c r="C106" s="278" t="str">
        <f>IF(原価試算!C106="","",原価試算!C106)</f>
        <v/>
      </c>
      <c r="D106" s="279" t="str">
        <f>IF(原価試算!D106="","",原価試算!D106)</f>
        <v/>
      </c>
      <c r="E106" s="471" t="str">
        <f>IF(原価試算!E106="","",原価試算!E106)</f>
        <v/>
      </c>
      <c r="F106" s="472"/>
      <c r="G106" s="301" t="str">
        <f>IF(原価試算!H106="","",(原価試算!H106/(原価試算!$H$94+原価試算!$H$135))*$G$5)</f>
        <v/>
      </c>
      <c r="H106" s="293" t="str">
        <f>IF(原価試算!K106="","",(原価試算!K106/(原価試算!$K$94+原価試算!$K$135))*$H$5)</f>
        <v/>
      </c>
      <c r="I106" s="302" t="str">
        <f>IF(原価試算!N106="","",(原価試算!N106/(原価試算!$N$94+原価試算!$N$135))*$I$5)</f>
        <v/>
      </c>
    </row>
    <row r="107" spans="2:9" ht="15.75" customHeight="1" x14ac:dyDescent="0.15">
      <c r="B107" s="277">
        <v>88</v>
      </c>
      <c r="C107" s="278" t="str">
        <f>IF(原価試算!C107="","",原価試算!C107)</f>
        <v/>
      </c>
      <c r="D107" s="279" t="str">
        <f>IF(原価試算!D107="","",原価試算!D107)</f>
        <v/>
      </c>
      <c r="E107" s="471" t="str">
        <f>IF(原価試算!E107="","",原価試算!E107)</f>
        <v/>
      </c>
      <c r="F107" s="472"/>
      <c r="G107" s="301" t="str">
        <f>IF(原価試算!H107="","",(原価試算!H107/(原価試算!$H$94+原価試算!$H$135))*$G$5)</f>
        <v/>
      </c>
      <c r="H107" s="293" t="str">
        <f>IF(原価試算!K107="","",(原価試算!K107/(原価試算!$K$94+原価試算!$K$135))*$H$5)</f>
        <v/>
      </c>
      <c r="I107" s="302" t="str">
        <f>IF(原価試算!N107="","",(原価試算!N107/(原価試算!$N$94+原価試算!$N$135))*$I$5)</f>
        <v/>
      </c>
    </row>
    <row r="108" spans="2:9" ht="15.75" customHeight="1" x14ac:dyDescent="0.15">
      <c r="B108" s="277">
        <v>89</v>
      </c>
      <c r="C108" s="278" t="str">
        <f>IF(原価試算!C108="","",原価試算!C108)</f>
        <v/>
      </c>
      <c r="D108" s="279" t="str">
        <f>IF(原価試算!D108="","",原価試算!D108)</f>
        <v/>
      </c>
      <c r="E108" s="471" t="str">
        <f>IF(原価試算!E108="","",原価試算!E108)</f>
        <v/>
      </c>
      <c r="F108" s="472"/>
      <c r="G108" s="301" t="str">
        <f>IF(原価試算!H108="","",(原価試算!H108/(原価試算!$H$94+原価試算!$H$135))*$G$5)</f>
        <v/>
      </c>
      <c r="H108" s="293" t="str">
        <f>IF(原価試算!K108="","",(原価試算!K108/(原価試算!$K$94+原価試算!$K$135))*$H$5)</f>
        <v/>
      </c>
      <c r="I108" s="302" t="str">
        <f>IF(原価試算!N108="","",(原価試算!N108/(原価試算!$N$94+原価試算!$N$135))*$I$5)</f>
        <v/>
      </c>
    </row>
    <row r="109" spans="2:9" ht="15.75" customHeight="1" x14ac:dyDescent="0.15">
      <c r="B109" s="277">
        <v>90</v>
      </c>
      <c r="C109" s="278" t="str">
        <f>IF(原価試算!C109="","",原価試算!C109)</f>
        <v/>
      </c>
      <c r="D109" s="279" t="str">
        <f>IF(原価試算!D109="","",原価試算!D109)</f>
        <v/>
      </c>
      <c r="E109" s="471" t="str">
        <f>IF(原価試算!E109="","",原価試算!E109)</f>
        <v/>
      </c>
      <c r="F109" s="472"/>
      <c r="G109" s="301" t="str">
        <f>IF(原価試算!H109="","",(原価試算!H109/(原価試算!$H$94+原価試算!$H$135))*$G$5)</f>
        <v/>
      </c>
      <c r="H109" s="293" t="str">
        <f>IF(原価試算!K109="","",(原価試算!K109/(原価試算!$K$94+原価試算!$K$135))*$H$5)</f>
        <v/>
      </c>
      <c r="I109" s="302" t="str">
        <f>IF(原価試算!N109="","",(原価試算!N109/(原価試算!$N$94+原価試算!$N$135))*$I$5)</f>
        <v/>
      </c>
    </row>
    <row r="110" spans="2:9" ht="15.75" customHeight="1" x14ac:dyDescent="0.15">
      <c r="B110" s="277">
        <v>91</v>
      </c>
      <c r="C110" s="278" t="str">
        <f>IF(原価試算!C110="","",原価試算!C110)</f>
        <v/>
      </c>
      <c r="D110" s="279" t="str">
        <f>IF(原価試算!D110="","",原価試算!D110)</f>
        <v/>
      </c>
      <c r="E110" s="471" t="str">
        <f>IF(原価試算!E110="","",原価試算!E110)</f>
        <v/>
      </c>
      <c r="F110" s="472"/>
      <c r="G110" s="301" t="str">
        <f>IF(原価試算!H110="","",(原価試算!H110/(原価試算!$H$94+原価試算!$H$135))*$G$5)</f>
        <v/>
      </c>
      <c r="H110" s="293" t="str">
        <f>IF(原価試算!K110="","",(原価試算!K110/(原価試算!$K$94+原価試算!$K$135))*$H$5)</f>
        <v/>
      </c>
      <c r="I110" s="302" t="str">
        <f>IF(原価試算!N110="","",(原価試算!N110/(原価試算!$N$94+原価試算!$N$135))*$I$5)</f>
        <v/>
      </c>
    </row>
    <row r="111" spans="2:9" ht="15.75" customHeight="1" x14ac:dyDescent="0.15">
      <c r="B111" s="277">
        <v>92</v>
      </c>
      <c r="C111" s="278" t="str">
        <f>IF(原価試算!C111="","",原価試算!C111)</f>
        <v/>
      </c>
      <c r="D111" s="279" t="str">
        <f>IF(原価試算!D111="","",原価試算!D111)</f>
        <v/>
      </c>
      <c r="E111" s="471" t="str">
        <f>IF(原価試算!E111="","",原価試算!E111)</f>
        <v/>
      </c>
      <c r="F111" s="472"/>
      <c r="G111" s="301" t="str">
        <f>IF(原価試算!H111="","",(原価試算!H111/(原価試算!$H$94+原価試算!$H$135))*$G$5)</f>
        <v/>
      </c>
      <c r="H111" s="293" t="str">
        <f>IF(原価試算!K111="","",(原価試算!K111/(原価試算!$K$94+原価試算!$K$135))*$H$5)</f>
        <v/>
      </c>
      <c r="I111" s="302" t="str">
        <f>IF(原価試算!N111="","",(原価試算!N111/(原価試算!$N$94+原価試算!$N$135))*$I$5)</f>
        <v/>
      </c>
    </row>
    <row r="112" spans="2:9" ht="15.75" customHeight="1" x14ac:dyDescent="0.15">
      <c r="B112" s="277">
        <v>93</v>
      </c>
      <c r="C112" s="278" t="str">
        <f>IF(原価試算!C112="","",原価試算!C112)</f>
        <v/>
      </c>
      <c r="D112" s="279" t="str">
        <f>IF(原価試算!D112="","",原価試算!D112)</f>
        <v/>
      </c>
      <c r="E112" s="471" t="str">
        <f>IF(原価試算!E112="","",原価試算!E112)</f>
        <v/>
      </c>
      <c r="F112" s="472"/>
      <c r="G112" s="301" t="str">
        <f>IF(原価試算!H112="","",(原価試算!H112/(原価試算!$H$94+原価試算!$H$135))*$G$5)</f>
        <v/>
      </c>
      <c r="H112" s="293" t="str">
        <f>IF(原価試算!K112="","",(原価試算!K112/(原価試算!$K$94+原価試算!$K$135))*$H$5)</f>
        <v/>
      </c>
      <c r="I112" s="302" t="str">
        <f>IF(原価試算!N112="","",(原価試算!N112/(原価試算!$N$94+原価試算!$N$135))*$I$5)</f>
        <v/>
      </c>
    </row>
    <row r="113" spans="2:9" ht="15.75" customHeight="1" x14ac:dyDescent="0.15">
      <c r="B113" s="277">
        <v>94</v>
      </c>
      <c r="C113" s="278" t="str">
        <f>IF(原価試算!C113="","",原価試算!C113)</f>
        <v/>
      </c>
      <c r="D113" s="279" t="str">
        <f>IF(原価試算!D113="","",原価試算!D113)</f>
        <v/>
      </c>
      <c r="E113" s="471" t="str">
        <f>IF(原価試算!E113="","",原価試算!E113)</f>
        <v/>
      </c>
      <c r="F113" s="472"/>
      <c r="G113" s="301" t="str">
        <f>IF(原価試算!H113="","",(原価試算!H113/(原価試算!$H$94+原価試算!$H$135))*$G$5)</f>
        <v/>
      </c>
      <c r="H113" s="293" t="str">
        <f>IF(原価試算!K113="","",(原価試算!K113/(原価試算!$K$94+原価試算!$K$135))*$H$5)</f>
        <v/>
      </c>
      <c r="I113" s="302" t="str">
        <f>IF(原価試算!N113="","",(原価試算!N113/(原価試算!$N$94+原価試算!$N$135))*$I$5)</f>
        <v/>
      </c>
    </row>
    <row r="114" spans="2:9" ht="15.75" customHeight="1" x14ac:dyDescent="0.15">
      <c r="B114" s="277">
        <v>95</v>
      </c>
      <c r="C114" s="278" t="str">
        <f>IF(原価試算!C114="","",原価試算!C114)</f>
        <v/>
      </c>
      <c r="D114" s="279" t="str">
        <f>IF(原価試算!D114="","",原価試算!D114)</f>
        <v/>
      </c>
      <c r="E114" s="471" t="str">
        <f>IF(原価試算!E114="","",原価試算!E114)</f>
        <v/>
      </c>
      <c r="F114" s="472"/>
      <c r="G114" s="301" t="str">
        <f>IF(原価試算!H114="","",(原価試算!H114/(原価試算!$H$94+原価試算!$H$135))*$G$5)</f>
        <v/>
      </c>
      <c r="H114" s="293" t="str">
        <f>IF(原価試算!K114="","",(原価試算!K114/(原価試算!$K$94+原価試算!$K$135))*$H$5)</f>
        <v/>
      </c>
      <c r="I114" s="302" t="str">
        <f>IF(原価試算!N114="","",(原価試算!N114/(原価試算!$N$94+原価試算!$N$135))*$I$5)</f>
        <v/>
      </c>
    </row>
    <row r="115" spans="2:9" ht="15.75" customHeight="1" x14ac:dyDescent="0.15">
      <c r="B115" s="277">
        <v>96</v>
      </c>
      <c r="C115" s="278" t="str">
        <f>IF(原価試算!C115="","",原価試算!C115)</f>
        <v/>
      </c>
      <c r="D115" s="279" t="str">
        <f>IF(原価試算!D115="","",原価試算!D115)</f>
        <v/>
      </c>
      <c r="E115" s="471" t="str">
        <f>IF(原価試算!E115="","",原価試算!E115)</f>
        <v/>
      </c>
      <c r="F115" s="472"/>
      <c r="G115" s="301" t="str">
        <f>IF(原価試算!H115="","",(原価試算!H115/(原価試算!$H$94+原価試算!$H$135))*$G$5)</f>
        <v/>
      </c>
      <c r="H115" s="293" t="str">
        <f>IF(原価試算!K115="","",(原価試算!K115/(原価試算!$K$94+原価試算!$K$135))*$H$5)</f>
        <v/>
      </c>
      <c r="I115" s="302" t="str">
        <f>IF(原価試算!N115="","",(原価試算!N115/(原価試算!$N$94+原価試算!$N$135))*$I$5)</f>
        <v/>
      </c>
    </row>
    <row r="116" spans="2:9" ht="15.75" customHeight="1" x14ac:dyDescent="0.15">
      <c r="B116" s="277">
        <v>97</v>
      </c>
      <c r="C116" s="278" t="str">
        <f>IF(原価試算!C116="","",原価試算!C116)</f>
        <v/>
      </c>
      <c r="D116" s="279" t="str">
        <f>IF(原価試算!D116="","",原価試算!D116)</f>
        <v/>
      </c>
      <c r="E116" s="471" t="str">
        <f>IF(原価試算!E116="","",原価試算!E116)</f>
        <v/>
      </c>
      <c r="F116" s="472"/>
      <c r="G116" s="301" t="str">
        <f>IF(原価試算!H116="","",(原価試算!H116/(原価試算!$H$94+原価試算!$H$135))*$G$5)</f>
        <v/>
      </c>
      <c r="H116" s="293" t="str">
        <f>IF(原価試算!K116="","",(原価試算!K116/(原価試算!$K$94+原価試算!$K$135))*$H$5)</f>
        <v/>
      </c>
      <c r="I116" s="302" t="str">
        <f>IF(原価試算!N116="","",(原価試算!N116/(原価試算!$N$94+原価試算!$N$135))*$I$5)</f>
        <v/>
      </c>
    </row>
    <row r="117" spans="2:9" ht="15.75" customHeight="1" x14ac:dyDescent="0.15">
      <c r="B117" s="277">
        <v>98</v>
      </c>
      <c r="C117" s="278" t="str">
        <f>IF(原価試算!C117="","",原価試算!C117)</f>
        <v/>
      </c>
      <c r="D117" s="279" t="str">
        <f>IF(原価試算!D117="","",原価試算!D117)</f>
        <v/>
      </c>
      <c r="E117" s="471" t="str">
        <f>IF(原価試算!E117="","",原価試算!E117)</f>
        <v/>
      </c>
      <c r="F117" s="472"/>
      <c r="G117" s="301" t="str">
        <f>IF(原価試算!H117="","",(原価試算!H117/(原価試算!$H$94+原価試算!$H$135))*$G$5)</f>
        <v/>
      </c>
      <c r="H117" s="293" t="str">
        <f>IF(原価試算!K117="","",(原価試算!K117/(原価試算!$K$94+原価試算!$K$135))*$H$5)</f>
        <v/>
      </c>
      <c r="I117" s="302" t="str">
        <f>IF(原価試算!N117="","",(原価試算!N117/(原価試算!$N$94+原価試算!$N$135))*$I$5)</f>
        <v/>
      </c>
    </row>
    <row r="118" spans="2:9" ht="15.75" customHeight="1" x14ac:dyDescent="0.15">
      <c r="B118" s="277">
        <v>99</v>
      </c>
      <c r="C118" s="278" t="str">
        <f>IF(原価試算!C118="","",原価試算!C118)</f>
        <v/>
      </c>
      <c r="D118" s="279" t="str">
        <f>IF(原価試算!D118="","",原価試算!D118)</f>
        <v/>
      </c>
      <c r="E118" s="471" t="str">
        <f>IF(原価試算!E118="","",原価試算!E118)</f>
        <v/>
      </c>
      <c r="F118" s="472"/>
      <c r="G118" s="301" t="str">
        <f>IF(原価試算!H118="","",(原価試算!H118/(原価試算!$H$94+原価試算!$H$135))*$G$5)</f>
        <v/>
      </c>
      <c r="H118" s="293" t="str">
        <f>IF(原価試算!K118="","",(原価試算!K118/(原価試算!$K$94+原価試算!$K$135))*$H$5)</f>
        <v/>
      </c>
      <c r="I118" s="302" t="str">
        <f>IF(原価試算!N118="","",(原価試算!N118/(原価試算!$N$94+原価試算!$N$135))*$I$5)</f>
        <v/>
      </c>
    </row>
    <row r="119" spans="2:9" ht="15.75" customHeight="1" x14ac:dyDescent="0.15">
      <c r="B119" s="277">
        <v>100</v>
      </c>
      <c r="C119" s="278" t="str">
        <f>IF(原価試算!C119="","",原価試算!C119)</f>
        <v/>
      </c>
      <c r="D119" s="279" t="str">
        <f>IF(原価試算!D119="","",原価試算!D119)</f>
        <v/>
      </c>
      <c r="E119" s="471" t="str">
        <f>IF(原価試算!E119="","",原価試算!E119)</f>
        <v/>
      </c>
      <c r="F119" s="472"/>
      <c r="G119" s="301" t="str">
        <f>IF(原価試算!H119="","",(原価試算!H119/(原価試算!$H$94+原価試算!$H$135))*$G$5)</f>
        <v/>
      </c>
      <c r="H119" s="293" t="str">
        <f>IF(原価試算!K119="","",(原価試算!K119/(原価試算!$K$94+原価試算!$K$135))*$H$5)</f>
        <v/>
      </c>
      <c r="I119" s="302" t="str">
        <f>IF(原価試算!N119="","",(原価試算!N119/(原価試算!$N$94+原価試算!$N$135))*$I$5)</f>
        <v/>
      </c>
    </row>
    <row r="120" spans="2:9" ht="15.75" customHeight="1" x14ac:dyDescent="0.15">
      <c r="B120" s="277">
        <v>101</v>
      </c>
      <c r="C120" s="278" t="str">
        <f>IF(原価試算!C120="","",原価試算!C120)</f>
        <v/>
      </c>
      <c r="D120" s="279" t="str">
        <f>IF(原価試算!D120="","",原価試算!D120)</f>
        <v/>
      </c>
      <c r="E120" s="471" t="str">
        <f>IF(原価試算!E120="","",原価試算!E120)</f>
        <v/>
      </c>
      <c r="F120" s="472"/>
      <c r="G120" s="301" t="str">
        <f>IF(原価試算!H120="","",(原価試算!H120/(原価試算!$H$94+原価試算!$H$135))*$G$5)</f>
        <v/>
      </c>
      <c r="H120" s="293" t="str">
        <f>IF(原価試算!K120="","",(原価試算!K120/(原価試算!$K$94+原価試算!$K$135))*$H$5)</f>
        <v/>
      </c>
      <c r="I120" s="302" t="str">
        <f>IF(原価試算!N120="","",(原価試算!N120/(原価試算!$N$94+原価試算!$N$135))*$I$5)</f>
        <v/>
      </c>
    </row>
    <row r="121" spans="2:9" ht="15.75" customHeight="1" x14ac:dyDescent="0.15">
      <c r="B121" s="277">
        <v>102</v>
      </c>
      <c r="C121" s="278" t="str">
        <f>IF(原価試算!C121="","",原価試算!C121)</f>
        <v/>
      </c>
      <c r="D121" s="279" t="str">
        <f>IF(原価試算!D121="","",原価試算!D121)</f>
        <v/>
      </c>
      <c r="E121" s="471" t="str">
        <f>IF(原価試算!E121="","",原価試算!E121)</f>
        <v/>
      </c>
      <c r="F121" s="472"/>
      <c r="G121" s="301" t="str">
        <f>IF(原価試算!H121="","",(原価試算!H121/(原価試算!$H$94+原価試算!$H$135))*$G$5)</f>
        <v/>
      </c>
      <c r="H121" s="293" t="str">
        <f>IF(原価試算!K121="","",(原価試算!K121/(原価試算!$K$94+原価試算!$K$135))*$H$5)</f>
        <v/>
      </c>
      <c r="I121" s="302" t="str">
        <f>IF(原価試算!N121="","",(原価試算!N121/(原価試算!$N$94+原価試算!$N$135))*$I$5)</f>
        <v/>
      </c>
    </row>
    <row r="122" spans="2:9" ht="15.75" customHeight="1" x14ac:dyDescent="0.15">
      <c r="B122" s="277">
        <v>103</v>
      </c>
      <c r="C122" s="278" t="str">
        <f>IF(原価試算!C122="","",原価試算!C122)</f>
        <v/>
      </c>
      <c r="D122" s="279" t="str">
        <f>IF(原価試算!D122="","",原価試算!D122)</f>
        <v/>
      </c>
      <c r="E122" s="471" t="str">
        <f>IF(原価試算!E122="","",原価試算!E122)</f>
        <v/>
      </c>
      <c r="F122" s="472"/>
      <c r="G122" s="301" t="str">
        <f>IF(原価試算!H122="","",(原価試算!H122/(原価試算!$H$94+原価試算!$H$135))*$G$5)</f>
        <v/>
      </c>
      <c r="H122" s="293" t="str">
        <f>IF(原価試算!K122="","",(原価試算!K122/(原価試算!$K$94+原価試算!$K$135))*$H$5)</f>
        <v/>
      </c>
      <c r="I122" s="302" t="str">
        <f>IF(原価試算!N122="","",(原価試算!N122/(原価試算!$N$94+原価試算!$N$135))*$I$5)</f>
        <v/>
      </c>
    </row>
    <row r="123" spans="2:9" ht="15.75" customHeight="1" x14ac:dyDescent="0.15">
      <c r="B123" s="277">
        <v>104</v>
      </c>
      <c r="C123" s="278" t="str">
        <f>IF(原価試算!C123="","",原価試算!C123)</f>
        <v/>
      </c>
      <c r="D123" s="279" t="str">
        <f>IF(原価試算!D123="","",原価試算!D123)</f>
        <v/>
      </c>
      <c r="E123" s="471" t="str">
        <f>IF(原価試算!E123="","",原価試算!E123)</f>
        <v/>
      </c>
      <c r="F123" s="472"/>
      <c r="G123" s="301" t="str">
        <f>IF(原価試算!H123="","",(原価試算!H123/(原価試算!$H$94+原価試算!$H$135))*$G$5)</f>
        <v/>
      </c>
      <c r="H123" s="293" t="str">
        <f>IF(原価試算!K123="","",(原価試算!K123/(原価試算!$K$94+原価試算!$K$135))*$H$5)</f>
        <v/>
      </c>
      <c r="I123" s="302" t="str">
        <f>IF(原価試算!N123="","",(原価試算!N123/(原価試算!$N$94+原価試算!$N$135))*$I$5)</f>
        <v/>
      </c>
    </row>
    <row r="124" spans="2:9" ht="15.75" customHeight="1" x14ac:dyDescent="0.15">
      <c r="B124" s="277">
        <v>105</v>
      </c>
      <c r="C124" s="278" t="str">
        <f>IF(原価試算!C124="","",原価試算!C124)</f>
        <v/>
      </c>
      <c r="D124" s="279" t="str">
        <f>IF(原価試算!D124="","",原価試算!D124)</f>
        <v/>
      </c>
      <c r="E124" s="471" t="str">
        <f>IF(原価試算!E124="","",原価試算!E124)</f>
        <v/>
      </c>
      <c r="F124" s="472"/>
      <c r="G124" s="301" t="str">
        <f>IF(原価試算!H124="","",(原価試算!H124/(原価試算!$H$94+原価試算!$H$135))*$G$5)</f>
        <v/>
      </c>
      <c r="H124" s="293" t="str">
        <f>IF(原価試算!K124="","",(原価試算!K124/(原価試算!$K$94+原価試算!$K$135))*$H$5)</f>
        <v/>
      </c>
      <c r="I124" s="302" t="str">
        <f>IF(原価試算!N124="","",(原価試算!N124/(原価試算!$N$94+原価試算!$N$135))*$I$5)</f>
        <v/>
      </c>
    </row>
    <row r="125" spans="2:9" ht="15.75" customHeight="1" x14ac:dyDescent="0.15">
      <c r="B125" s="277">
        <v>106</v>
      </c>
      <c r="C125" s="278" t="str">
        <f>IF(原価試算!C125="","",原価試算!C125)</f>
        <v/>
      </c>
      <c r="D125" s="279" t="str">
        <f>IF(原価試算!D125="","",原価試算!D125)</f>
        <v/>
      </c>
      <c r="E125" s="471" t="str">
        <f>IF(原価試算!E125="","",原価試算!E125)</f>
        <v/>
      </c>
      <c r="F125" s="472"/>
      <c r="G125" s="301" t="str">
        <f>IF(原価試算!H125="","",(原価試算!H125/(原価試算!$H$94+原価試算!$H$135))*$G$5)</f>
        <v/>
      </c>
      <c r="H125" s="293" t="str">
        <f>IF(原価試算!K125="","",(原価試算!K125/(原価試算!$K$94+原価試算!$K$135))*$H$5)</f>
        <v/>
      </c>
      <c r="I125" s="302" t="str">
        <f>IF(原価試算!N125="","",(原価試算!N125/(原価試算!$N$94+原価試算!$N$135))*$I$5)</f>
        <v/>
      </c>
    </row>
    <row r="126" spans="2:9" ht="15.75" customHeight="1" x14ac:dyDescent="0.15">
      <c r="B126" s="277">
        <v>107</v>
      </c>
      <c r="C126" s="278" t="str">
        <f>IF(原価試算!C126="","",原価試算!C126)</f>
        <v/>
      </c>
      <c r="D126" s="279" t="str">
        <f>IF(原価試算!D126="","",原価試算!D126)</f>
        <v/>
      </c>
      <c r="E126" s="471" t="str">
        <f>IF(原価試算!E126="","",原価試算!E126)</f>
        <v/>
      </c>
      <c r="F126" s="472"/>
      <c r="G126" s="301" t="str">
        <f>IF(原価試算!H126="","",(原価試算!H126/(原価試算!$H$94+原価試算!$H$135))*$G$5)</f>
        <v/>
      </c>
      <c r="H126" s="293" t="str">
        <f>IF(原価試算!K126="","",(原価試算!K126/(原価試算!$K$94+原価試算!$K$135))*$H$5)</f>
        <v/>
      </c>
      <c r="I126" s="302" t="str">
        <f>IF(原価試算!N126="","",(原価試算!N126/(原価試算!$N$94+原価試算!$N$135))*$I$5)</f>
        <v/>
      </c>
    </row>
    <row r="127" spans="2:9" ht="15.75" customHeight="1" x14ac:dyDescent="0.15">
      <c r="B127" s="277">
        <v>108</v>
      </c>
      <c r="C127" s="278" t="str">
        <f>IF(原価試算!C127="","",原価試算!C127)</f>
        <v/>
      </c>
      <c r="D127" s="279" t="str">
        <f>IF(原価試算!D127="","",原価試算!D127)</f>
        <v/>
      </c>
      <c r="E127" s="471" t="str">
        <f>IF(原価試算!E127="","",原価試算!E127)</f>
        <v/>
      </c>
      <c r="F127" s="472"/>
      <c r="G127" s="301" t="str">
        <f>IF(原価試算!H127="","",(原価試算!H127/(原価試算!$H$94+原価試算!$H$135))*$G$5)</f>
        <v/>
      </c>
      <c r="H127" s="293" t="str">
        <f>IF(原価試算!K127="","",(原価試算!K127/(原価試算!$K$94+原価試算!$K$135))*$H$5)</f>
        <v/>
      </c>
      <c r="I127" s="302" t="str">
        <f>IF(原価試算!N127="","",(原価試算!N127/(原価試算!$N$94+原価試算!$N$135))*$I$5)</f>
        <v/>
      </c>
    </row>
    <row r="128" spans="2:9" ht="15.75" customHeight="1" x14ac:dyDescent="0.15">
      <c r="B128" s="277">
        <v>109</v>
      </c>
      <c r="C128" s="278" t="str">
        <f>IF(原価試算!C128="","",原価試算!C128)</f>
        <v/>
      </c>
      <c r="D128" s="279" t="str">
        <f>IF(原価試算!D128="","",原価試算!D128)</f>
        <v/>
      </c>
      <c r="E128" s="471" t="str">
        <f>IF(原価試算!E128="","",原価試算!E128)</f>
        <v/>
      </c>
      <c r="F128" s="472"/>
      <c r="G128" s="301" t="str">
        <f>IF(原価試算!H128="","",(原価試算!H128/(原価試算!$H$94+原価試算!$H$135))*$G$5)</f>
        <v/>
      </c>
      <c r="H128" s="293" t="str">
        <f>IF(原価試算!K128="","",(原価試算!K128/(原価試算!$K$94+原価試算!$K$135))*$H$5)</f>
        <v/>
      </c>
      <c r="I128" s="302" t="str">
        <f>IF(原価試算!N128="","",(原価試算!N128/(原価試算!$N$94+原価試算!$N$135))*$I$5)</f>
        <v/>
      </c>
    </row>
    <row r="129" spans="2:9" ht="15.75" customHeight="1" x14ac:dyDescent="0.15">
      <c r="B129" s="277">
        <v>110</v>
      </c>
      <c r="C129" s="278" t="str">
        <f>IF(原価試算!C129="","",原価試算!C129)</f>
        <v/>
      </c>
      <c r="D129" s="279" t="str">
        <f>IF(原価試算!D129="","",原価試算!D129)</f>
        <v/>
      </c>
      <c r="E129" s="471" t="str">
        <f>IF(原価試算!E129="","",原価試算!E129)</f>
        <v/>
      </c>
      <c r="F129" s="472"/>
      <c r="G129" s="301" t="str">
        <f>IF(原価試算!H129="","",(原価試算!H129/(原価試算!$H$94+原価試算!$H$135))*$G$5)</f>
        <v/>
      </c>
      <c r="H129" s="293" t="str">
        <f>IF(原価試算!K129="","",(原価試算!K129/(原価試算!$K$94+原価試算!$K$135))*$H$5)</f>
        <v/>
      </c>
      <c r="I129" s="302" t="str">
        <f>IF(原価試算!N129="","",(原価試算!N129/(原価試算!$N$94+原価試算!$N$135))*$I$5)</f>
        <v/>
      </c>
    </row>
    <row r="130" spans="2:9" ht="15.75" customHeight="1" x14ac:dyDescent="0.15">
      <c r="B130" s="277">
        <v>111</v>
      </c>
      <c r="C130" s="278" t="str">
        <f>IF(原価試算!C130="","",原価試算!C130)</f>
        <v/>
      </c>
      <c r="D130" s="279" t="str">
        <f>IF(原価試算!D130="","",原価試算!D130)</f>
        <v/>
      </c>
      <c r="E130" s="471" t="str">
        <f>IF(原価試算!E130="","",原価試算!E130)</f>
        <v/>
      </c>
      <c r="F130" s="472"/>
      <c r="G130" s="301" t="str">
        <f>IF(原価試算!H130="","",(原価試算!H130/(原価試算!$H$94+原価試算!$H$135))*$G$5)</f>
        <v/>
      </c>
      <c r="H130" s="293" t="str">
        <f>IF(原価試算!K130="","",(原価試算!K130/(原価試算!$K$94+原価試算!$K$135))*$H$5)</f>
        <v/>
      </c>
      <c r="I130" s="302" t="str">
        <f>IF(原価試算!N130="","",(原価試算!N130/(原価試算!$N$94+原価試算!$N$135))*$I$5)</f>
        <v/>
      </c>
    </row>
    <row r="131" spans="2:9" ht="15.75" customHeight="1" x14ac:dyDescent="0.15">
      <c r="B131" s="277">
        <v>112</v>
      </c>
      <c r="C131" s="278" t="str">
        <f>IF(原価試算!C131="","",原価試算!C131)</f>
        <v/>
      </c>
      <c r="D131" s="279" t="str">
        <f>IF(原価試算!D131="","",原価試算!D131)</f>
        <v/>
      </c>
      <c r="E131" s="471" t="str">
        <f>IF(原価試算!E131="","",原価試算!E131)</f>
        <v/>
      </c>
      <c r="F131" s="472"/>
      <c r="G131" s="301" t="str">
        <f>IF(原価試算!H131="","",(原価試算!H131/(原価試算!$H$94+原価試算!$H$135))*$G$5)</f>
        <v/>
      </c>
      <c r="H131" s="293" t="str">
        <f>IF(原価試算!K131="","",(原価試算!K131/(原価試算!$K$94+原価試算!$K$135))*$H$5)</f>
        <v/>
      </c>
      <c r="I131" s="302" t="str">
        <f>IF(原価試算!N131="","",(原価試算!N131/(原価試算!$N$94+原価試算!$N$135))*$I$5)</f>
        <v/>
      </c>
    </row>
    <row r="132" spans="2:9" ht="15.75" customHeight="1" x14ac:dyDescent="0.15">
      <c r="B132" s="277">
        <v>113</v>
      </c>
      <c r="C132" s="278" t="str">
        <f>IF(原価試算!C132="","",原価試算!C132)</f>
        <v/>
      </c>
      <c r="D132" s="279" t="str">
        <f>IF(原価試算!D132="","",原価試算!D132)</f>
        <v/>
      </c>
      <c r="E132" s="471" t="str">
        <f>IF(原価試算!E132="","",原価試算!E132)</f>
        <v/>
      </c>
      <c r="F132" s="472"/>
      <c r="G132" s="301" t="str">
        <f>IF(原価試算!H132="","",(原価試算!H132/(原価試算!$H$94+原価試算!$H$135))*$G$5)</f>
        <v/>
      </c>
      <c r="H132" s="293" t="str">
        <f>IF(原価試算!K132="","",(原価試算!K132/(原価試算!$K$94+原価試算!$K$135))*$H$5)</f>
        <v/>
      </c>
      <c r="I132" s="302" t="str">
        <f>IF(原価試算!N132="","",(原価試算!N132/(原価試算!$N$94+原価試算!$N$135))*$I$5)</f>
        <v/>
      </c>
    </row>
    <row r="133" spans="2:9" ht="15.75" customHeight="1" x14ac:dyDescent="0.15">
      <c r="B133" s="277">
        <v>114</v>
      </c>
      <c r="C133" s="278" t="str">
        <f>IF(原価試算!C133="","",原価試算!C133)</f>
        <v/>
      </c>
      <c r="D133" s="279" t="str">
        <f>IF(原価試算!D133="","",原価試算!D133)</f>
        <v/>
      </c>
      <c r="E133" s="471" t="str">
        <f>IF(原価試算!E133="","",原価試算!E133)</f>
        <v/>
      </c>
      <c r="F133" s="472"/>
      <c r="G133" s="301" t="str">
        <f>IF(原価試算!H133="","",(原価試算!H133/(原価試算!$H$94+原価試算!$H$135))*$G$5)</f>
        <v/>
      </c>
      <c r="H133" s="293" t="str">
        <f>IF(原価試算!K133="","",(原価試算!K133/(原価試算!$K$94+原価試算!$K$135))*$H$5)</f>
        <v/>
      </c>
      <c r="I133" s="302" t="str">
        <f>IF(原価試算!N133="","",(原価試算!N133/(原価試算!$N$94+原価試算!$N$135))*$I$5)</f>
        <v/>
      </c>
    </row>
    <row r="134" spans="2:9" ht="15.75" customHeight="1" x14ac:dyDescent="0.15">
      <c r="B134" s="277">
        <v>115</v>
      </c>
      <c r="C134" s="278" t="str">
        <f>IF(原価試算!C134="","",原価試算!C134)</f>
        <v/>
      </c>
      <c r="D134" s="279" t="str">
        <f>IF(原価試算!D134="","",原価試算!D134)</f>
        <v/>
      </c>
      <c r="E134" s="471" t="str">
        <f>IF(原価試算!E134="","",原価試算!E134)</f>
        <v/>
      </c>
      <c r="F134" s="472"/>
      <c r="G134" s="301" t="str">
        <f>IF(原価試算!H134="","",(原価試算!H134/(原価試算!$H$94+原価試算!$H$135))*$G$5)</f>
        <v/>
      </c>
      <c r="H134" s="293" t="str">
        <f>IF(原価試算!K134="","",(原価試算!K134/(原価試算!$K$94+原価試算!$K$135))*$H$5)</f>
        <v/>
      </c>
      <c r="I134" s="302" t="str">
        <f>IF(原価試算!N134="","",(原価試算!N134/(原価試算!$N$94+原価試算!$N$135))*$I$5)</f>
        <v/>
      </c>
    </row>
    <row r="135" spans="2:9" ht="15.75" customHeight="1" thickBot="1" x14ac:dyDescent="0.2">
      <c r="B135" s="287"/>
      <c r="C135" s="288"/>
      <c r="D135" s="288"/>
      <c r="E135" s="474" t="s">
        <v>318</v>
      </c>
      <c r="F135" s="475"/>
      <c r="G135" s="303"/>
      <c r="H135" s="304"/>
      <c r="I135" s="305"/>
    </row>
  </sheetData>
  <dataConsolidate/>
  <mergeCells count="123">
    <mergeCell ref="E23:F23"/>
    <mergeCell ref="E19:F19"/>
    <mergeCell ref="E20:F20"/>
    <mergeCell ref="E21:F21"/>
    <mergeCell ref="E15:F15"/>
    <mergeCell ref="E16:F16"/>
    <mergeCell ref="E17:F17"/>
    <mergeCell ref="E13:F13"/>
    <mergeCell ref="E14:F14"/>
    <mergeCell ref="E26:F26"/>
    <mergeCell ref="E27:F27"/>
    <mergeCell ref="E28:F28"/>
    <mergeCell ref="E29:F29"/>
    <mergeCell ref="E22:F22"/>
    <mergeCell ref="E24:F24"/>
    <mergeCell ref="E25:F25"/>
    <mergeCell ref="E18:F18"/>
    <mergeCell ref="E57:F57"/>
    <mergeCell ref="E58:F58"/>
    <mergeCell ref="E59:F59"/>
    <mergeCell ref="E60:F60"/>
    <mergeCell ref="E30:F30"/>
    <mergeCell ref="E55:F55"/>
    <mergeCell ref="E56:F56"/>
    <mergeCell ref="E67:F67"/>
    <mergeCell ref="E68:F68"/>
    <mergeCell ref="E61:F61"/>
    <mergeCell ref="E62:F62"/>
    <mergeCell ref="E63:F63"/>
    <mergeCell ref="E64:F64"/>
    <mergeCell ref="E94:F94"/>
    <mergeCell ref="E95:F95"/>
    <mergeCell ref="E96:F96"/>
    <mergeCell ref="E97:F97"/>
    <mergeCell ref="E69:F69"/>
    <mergeCell ref="E70:F70"/>
    <mergeCell ref="E71:F71"/>
    <mergeCell ref="E72:F72"/>
    <mergeCell ref="E116:F116"/>
    <mergeCell ref="E117:F117"/>
    <mergeCell ref="E118:F118"/>
    <mergeCell ref="E119:F119"/>
    <mergeCell ref="E98:F98"/>
    <mergeCell ref="E99:F99"/>
    <mergeCell ref="E100:F100"/>
    <mergeCell ref="E101:F101"/>
    <mergeCell ref="E31:F31"/>
    <mergeCell ref="E32:F32"/>
    <mergeCell ref="E33:F33"/>
    <mergeCell ref="E34:F34"/>
    <mergeCell ref="E135:F135"/>
    <mergeCell ref="E106:F106"/>
    <mergeCell ref="E107:F107"/>
    <mergeCell ref="E108:F108"/>
    <mergeCell ref="E109:F109"/>
    <mergeCell ref="E115:F115"/>
    <mergeCell ref="E39:F39"/>
    <mergeCell ref="E40:F40"/>
    <mergeCell ref="E41:F41"/>
    <mergeCell ref="E42:F42"/>
    <mergeCell ref="E35:F35"/>
    <mergeCell ref="E36:F36"/>
    <mergeCell ref="E37:F37"/>
    <mergeCell ref="E38:F38"/>
    <mergeCell ref="E47:F47"/>
    <mergeCell ref="E48:F48"/>
    <mergeCell ref="E49:F49"/>
    <mergeCell ref="E50:F50"/>
    <mergeCell ref="E43:F43"/>
    <mergeCell ref="E44:F44"/>
    <mergeCell ref="E45:F45"/>
    <mergeCell ref="E46:F46"/>
    <mergeCell ref="E73:F73"/>
    <mergeCell ref="E74:F74"/>
    <mergeCell ref="E75:F75"/>
    <mergeCell ref="E76:F76"/>
    <mergeCell ref="E51:F51"/>
    <mergeCell ref="E52:F52"/>
    <mergeCell ref="E53:F53"/>
    <mergeCell ref="E54:F54"/>
    <mergeCell ref="E65:F65"/>
    <mergeCell ref="E66:F66"/>
    <mergeCell ref="E81:F81"/>
    <mergeCell ref="E82:F82"/>
    <mergeCell ref="E83:F83"/>
    <mergeCell ref="E84:F84"/>
    <mergeCell ref="E77:F77"/>
    <mergeCell ref="E78:F78"/>
    <mergeCell ref="E79:F79"/>
    <mergeCell ref="E80:F80"/>
    <mergeCell ref="E89:F89"/>
    <mergeCell ref="E90:F90"/>
    <mergeCell ref="E91:F91"/>
    <mergeCell ref="E92:F92"/>
    <mergeCell ref="E85:F85"/>
    <mergeCell ref="E86:F86"/>
    <mergeCell ref="E87:F87"/>
    <mergeCell ref="E88:F88"/>
    <mergeCell ref="E93:F93"/>
    <mergeCell ref="E112:F112"/>
    <mergeCell ref="E113:F113"/>
    <mergeCell ref="E114:F114"/>
    <mergeCell ref="E110:F110"/>
    <mergeCell ref="E111:F111"/>
    <mergeCell ref="E102:F102"/>
    <mergeCell ref="E103:F103"/>
    <mergeCell ref="E104:F104"/>
    <mergeCell ref="E105:F105"/>
    <mergeCell ref="E124:F124"/>
    <mergeCell ref="E125:F125"/>
    <mergeCell ref="E126:F126"/>
    <mergeCell ref="E127:F127"/>
    <mergeCell ref="E120:F120"/>
    <mergeCell ref="E121:F121"/>
    <mergeCell ref="E122:F122"/>
    <mergeCell ref="E123:F123"/>
    <mergeCell ref="E128:F128"/>
    <mergeCell ref="E129:F129"/>
    <mergeCell ref="E134:F134"/>
    <mergeCell ref="E130:F130"/>
    <mergeCell ref="E131:F131"/>
    <mergeCell ref="E132:F132"/>
    <mergeCell ref="E133:F133"/>
  </mergeCells>
  <phoneticPr fontId="3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3"/>
  <sheetViews>
    <sheetView topLeftCell="A31" workbookViewId="0">
      <selection activeCell="J65" sqref="J65"/>
    </sheetView>
  </sheetViews>
  <sheetFormatPr defaultRowHeight="13.5" x14ac:dyDescent="0.15"/>
  <sheetData>
    <row r="1" spans="1:9" x14ac:dyDescent="0.15">
      <c r="A1" s="4" t="s">
        <v>2</v>
      </c>
      <c r="B1" s="4"/>
      <c r="C1" s="4"/>
      <c r="D1" s="4"/>
      <c r="E1" s="4"/>
      <c r="F1" s="4"/>
      <c r="G1" s="4"/>
      <c r="H1" s="4"/>
      <c r="I1" s="4"/>
    </row>
    <row r="2" spans="1:9" x14ac:dyDescent="0.15">
      <c r="A2" s="5" t="s">
        <v>3</v>
      </c>
      <c r="B2" s="6" t="s">
        <v>4</v>
      </c>
      <c r="C2" s="6" t="s">
        <v>5</v>
      </c>
      <c r="D2" s="6" t="s">
        <v>6</v>
      </c>
      <c r="E2" s="6" t="s">
        <v>7</v>
      </c>
      <c r="F2" s="6" t="s">
        <v>8</v>
      </c>
      <c r="G2" s="6" t="s">
        <v>9</v>
      </c>
      <c r="H2" s="6" t="s">
        <v>10</v>
      </c>
      <c r="I2" s="6" t="s">
        <v>11</v>
      </c>
    </row>
    <row r="3" spans="1:9" x14ac:dyDescent="0.15">
      <c r="A3" s="7">
        <v>1</v>
      </c>
      <c r="B3" s="8" t="s">
        <v>12</v>
      </c>
      <c r="C3" s="8">
        <v>3</v>
      </c>
      <c r="D3" s="9">
        <v>1</v>
      </c>
      <c r="E3" s="8" t="s">
        <v>13</v>
      </c>
      <c r="F3" s="8"/>
      <c r="G3" s="8"/>
      <c r="H3" s="8" t="s">
        <v>14</v>
      </c>
      <c r="I3" s="8"/>
    </row>
    <row r="4" spans="1:9" x14ac:dyDescent="0.15">
      <c r="A4" s="7">
        <v>2</v>
      </c>
      <c r="B4" s="8" t="s">
        <v>12</v>
      </c>
      <c r="C4" s="8">
        <v>6</v>
      </c>
      <c r="D4" s="9">
        <v>0</v>
      </c>
      <c r="E4" s="8" t="s">
        <v>13</v>
      </c>
      <c r="F4" s="8"/>
      <c r="G4" s="8"/>
      <c r="H4" s="8" t="s">
        <v>15</v>
      </c>
      <c r="I4" s="8"/>
    </row>
    <row r="5" spans="1:9" x14ac:dyDescent="0.15">
      <c r="A5" s="7">
        <v>3</v>
      </c>
      <c r="B5" s="8" t="s">
        <v>12</v>
      </c>
      <c r="C5" s="8">
        <v>8</v>
      </c>
      <c r="D5" s="9">
        <v>0</v>
      </c>
      <c r="E5" s="8" t="s">
        <v>13</v>
      </c>
      <c r="F5" s="8"/>
      <c r="G5" s="8"/>
      <c r="H5" s="8" t="s">
        <v>16</v>
      </c>
      <c r="I5" s="8" t="s">
        <v>17</v>
      </c>
    </row>
    <row r="6" spans="1:9" x14ac:dyDescent="0.15">
      <c r="A6" s="7">
        <v>4</v>
      </c>
      <c r="B6" s="8" t="s">
        <v>12</v>
      </c>
      <c r="C6" s="8">
        <v>16</v>
      </c>
      <c r="D6" s="9">
        <v>5</v>
      </c>
      <c r="E6" s="8" t="s">
        <v>13</v>
      </c>
      <c r="F6" s="8"/>
      <c r="G6" s="8"/>
      <c r="H6" s="8" t="s">
        <v>18</v>
      </c>
      <c r="I6" s="8" t="s">
        <v>19</v>
      </c>
    </row>
    <row r="7" spans="1:9" x14ac:dyDescent="0.15">
      <c r="A7" s="7">
        <v>5</v>
      </c>
      <c r="B7" s="8" t="s">
        <v>12</v>
      </c>
      <c r="C7" s="8">
        <v>18</v>
      </c>
      <c r="D7" s="9">
        <v>5</v>
      </c>
      <c r="E7" s="8" t="s">
        <v>13</v>
      </c>
      <c r="F7" s="8"/>
      <c r="G7" s="8"/>
      <c r="H7" s="8" t="s">
        <v>20</v>
      </c>
      <c r="I7" s="8" t="s">
        <v>21</v>
      </c>
    </row>
    <row r="8" spans="1:9" x14ac:dyDescent="0.15">
      <c r="A8" s="7">
        <v>6</v>
      </c>
      <c r="B8" s="8" t="s">
        <v>12</v>
      </c>
      <c r="C8" s="8">
        <v>20</v>
      </c>
      <c r="D8" s="9">
        <v>5</v>
      </c>
      <c r="E8" s="8" t="s">
        <v>13</v>
      </c>
      <c r="F8" s="8"/>
      <c r="G8" s="8"/>
      <c r="H8" s="8" t="s">
        <v>240</v>
      </c>
      <c r="I8" s="321" t="s">
        <v>363</v>
      </c>
    </row>
    <row r="9" spans="1:9" x14ac:dyDescent="0.15">
      <c r="A9" s="7">
        <v>7</v>
      </c>
      <c r="B9" s="8" t="s">
        <v>12</v>
      </c>
      <c r="C9" s="8">
        <v>8</v>
      </c>
      <c r="D9" s="9">
        <v>12</v>
      </c>
      <c r="E9" s="8" t="s">
        <v>13</v>
      </c>
      <c r="F9" s="8"/>
      <c r="G9" s="8"/>
      <c r="H9" s="8" t="s">
        <v>22</v>
      </c>
      <c r="I9" s="8" t="s">
        <v>362</v>
      </c>
    </row>
    <row r="10" spans="1:9" x14ac:dyDescent="0.15">
      <c r="A10" s="7">
        <v>8</v>
      </c>
      <c r="B10" s="8" t="s">
        <v>12</v>
      </c>
      <c r="C10" s="8">
        <v>11</v>
      </c>
      <c r="D10" s="9">
        <v>12</v>
      </c>
      <c r="E10" s="8" t="s">
        <v>13</v>
      </c>
      <c r="F10" s="8"/>
      <c r="G10" s="8"/>
      <c r="H10" s="8" t="s">
        <v>23</v>
      </c>
      <c r="I10" s="8" t="s">
        <v>362</v>
      </c>
    </row>
    <row r="11" spans="1:9" x14ac:dyDescent="0.15">
      <c r="A11" s="7">
        <v>9</v>
      </c>
      <c r="B11" s="8" t="s">
        <v>12</v>
      </c>
      <c r="C11" s="8">
        <v>14</v>
      </c>
      <c r="D11" s="9">
        <v>12</v>
      </c>
      <c r="E11" s="8" t="s">
        <v>13</v>
      </c>
      <c r="F11" s="8"/>
      <c r="G11" s="8"/>
      <c r="H11" s="8" t="s">
        <v>24</v>
      </c>
      <c r="I11" s="8" t="s">
        <v>362</v>
      </c>
    </row>
    <row r="12" spans="1:9" x14ac:dyDescent="0.15">
      <c r="A12" s="7">
        <v>10</v>
      </c>
      <c r="B12" s="8" t="s">
        <v>12</v>
      </c>
      <c r="C12" s="8">
        <v>2</v>
      </c>
      <c r="D12" s="9">
        <v>15</v>
      </c>
      <c r="E12" s="8" t="s">
        <v>25</v>
      </c>
      <c r="F12" s="8" t="s">
        <v>26</v>
      </c>
      <c r="G12" s="8">
        <v>39</v>
      </c>
      <c r="H12" s="8" t="s">
        <v>27</v>
      </c>
      <c r="I12" s="8" t="s">
        <v>28</v>
      </c>
    </row>
    <row r="13" spans="1:9" x14ac:dyDescent="0.15">
      <c r="A13" s="7">
        <v>11</v>
      </c>
      <c r="B13" s="8" t="s">
        <v>12</v>
      </c>
      <c r="C13" s="8">
        <v>3</v>
      </c>
      <c r="D13" s="9">
        <v>15</v>
      </c>
      <c r="E13" s="8" t="s">
        <v>25</v>
      </c>
      <c r="F13" s="8" t="s">
        <v>26</v>
      </c>
      <c r="G13" s="8">
        <v>39</v>
      </c>
      <c r="H13" s="8" t="s">
        <v>29</v>
      </c>
      <c r="I13" s="8" t="s">
        <v>30</v>
      </c>
    </row>
    <row r="14" spans="1:9" x14ac:dyDescent="0.15">
      <c r="A14" s="7">
        <v>12</v>
      </c>
      <c r="B14" s="8" t="s">
        <v>12</v>
      </c>
      <c r="C14" s="8">
        <v>4</v>
      </c>
      <c r="D14" s="9">
        <v>15</v>
      </c>
      <c r="E14" s="8" t="s">
        <v>25</v>
      </c>
      <c r="F14" s="8" t="s">
        <v>26</v>
      </c>
      <c r="G14" s="8">
        <v>39</v>
      </c>
      <c r="H14" s="8" t="s">
        <v>31</v>
      </c>
      <c r="I14" s="8"/>
    </row>
    <row r="15" spans="1:9" x14ac:dyDescent="0.15">
      <c r="A15" s="7">
        <v>13</v>
      </c>
      <c r="B15" s="8" t="s">
        <v>12</v>
      </c>
      <c r="C15" s="8">
        <v>5</v>
      </c>
      <c r="D15" s="9">
        <v>15</v>
      </c>
      <c r="E15" s="8" t="s">
        <v>25</v>
      </c>
      <c r="F15" s="8" t="s">
        <v>26</v>
      </c>
      <c r="G15" s="8">
        <v>39</v>
      </c>
      <c r="H15" s="8" t="s">
        <v>32</v>
      </c>
      <c r="I15" s="8"/>
    </row>
    <row r="16" spans="1:9" x14ac:dyDescent="0.15">
      <c r="A16" s="7">
        <v>14</v>
      </c>
      <c r="B16" s="8" t="s">
        <v>12</v>
      </c>
      <c r="C16" s="8">
        <v>6</v>
      </c>
      <c r="D16" s="9">
        <v>15</v>
      </c>
      <c r="E16" s="8" t="s">
        <v>25</v>
      </c>
      <c r="F16" s="8" t="s">
        <v>26</v>
      </c>
      <c r="G16" s="8">
        <v>39</v>
      </c>
      <c r="H16" s="8" t="s">
        <v>33</v>
      </c>
      <c r="I16" s="8"/>
    </row>
    <row r="17" spans="1:9" x14ac:dyDescent="0.15">
      <c r="A17" s="7">
        <v>15</v>
      </c>
      <c r="B17" s="8" t="s">
        <v>12</v>
      </c>
      <c r="C17" s="8">
        <v>7</v>
      </c>
      <c r="D17" s="9">
        <v>15</v>
      </c>
      <c r="E17" s="8" t="s">
        <v>25</v>
      </c>
      <c r="F17" s="8" t="s">
        <v>26</v>
      </c>
      <c r="G17" s="8">
        <v>39</v>
      </c>
      <c r="H17" s="8" t="s">
        <v>34</v>
      </c>
      <c r="I17" s="8"/>
    </row>
    <row r="18" spans="1:9" x14ac:dyDescent="0.15">
      <c r="A18" s="7">
        <v>16</v>
      </c>
      <c r="B18" s="8" t="s">
        <v>12</v>
      </c>
      <c r="C18" s="8">
        <v>10</v>
      </c>
      <c r="D18" s="9">
        <v>15</v>
      </c>
      <c r="E18" s="8" t="s">
        <v>25</v>
      </c>
      <c r="F18" s="8" t="s">
        <v>26</v>
      </c>
      <c r="G18" s="8">
        <v>39</v>
      </c>
      <c r="H18" s="8" t="s">
        <v>35</v>
      </c>
      <c r="I18" s="8"/>
    </row>
    <row r="19" spans="1:9" x14ac:dyDescent="0.15">
      <c r="A19" s="7">
        <v>17</v>
      </c>
      <c r="B19" s="8" t="s">
        <v>12</v>
      </c>
      <c r="C19" s="8">
        <v>13</v>
      </c>
      <c r="D19" s="9">
        <v>15</v>
      </c>
      <c r="E19" s="8" t="s">
        <v>25</v>
      </c>
      <c r="F19" s="8" t="s">
        <v>26</v>
      </c>
      <c r="G19" s="8">
        <v>39</v>
      </c>
      <c r="H19" s="8" t="s">
        <v>36</v>
      </c>
      <c r="I19" s="8"/>
    </row>
    <row r="20" spans="1:9" x14ac:dyDescent="0.15">
      <c r="A20" s="7">
        <v>18</v>
      </c>
      <c r="B20" s="8" t="s">
        <v>12</v>
      </c>
      <c r="C20" s="8">
        <v>2</v>
      </c>
      <c r="D20" s="9">
        <v>56</v>
      </c>
      <c r="E20" s="8" t="s">
        <v>25</v>
      </c>
      <c r="F20" s="8" t="s">
        <v>26</v>
      </c>
      <c r="G20" s="8">
        <v>37</v>
      </c>
      <c r="H20" s="8" t="s">
        <v>37</v>
      </c>
      <c r="I20" s="8"/>
    </row>
    <row r="21" spans="1:9" x14ac:dyDescent="0.15">
      <c r="A21" s="7">
        <v>19</v>
      </c>
      <c r="B21" s="8" t="s">
        <v>12</v>
      </c>
      <c r="C21" s="8">
        <v>3</v>
      </c>
      <c r="D21" s="9">
        <v>56</v>
      </c>
      <c r="E21" s="8" t="s">
        <v>25</v>
      </c>
      <c r="F21" s="8" t="s">
        <v>26</v>
      </c>
      <c r="G21" s="8">
        <v>37</v>
      </c>
      <c r="H21" s="8" t="s">
        <v>38</v>
      </c>
      <c r="I21" s="8" t="s">
        <v>39</v>
      </c>
    </row>
    <row r="22" spans="1:9" x14ac:dyDescent="0.15">
      <c r="A22" s="7">
        <v>20</v>
      </c>
      <c r="B22" s="8" t="s">
        <v>12</v>
      </c>
      <c r="C22" s="8">
        <v>4</v>
      </c>
      <c r="D22" s="9">
        <v>56</v>
      </c>
      <c r="E22" s="8" t="s">
        <v>25</v>
      </c>
      <c r="F22" s="8" t="s">
        <v>26</v>
      </c>
      <c r="G22" s="8">
        <v>37</v>
      </c>
      <c r="H22" s="8" t="s">
        <v>40</v>
      </c>
      <c r="I22" s="8"/>
    </row>
    <row r="23" spans="1:9" x14ac:dyDescent="0.15">
      <c r="A23" s="7">
        <v>21</v>
      </c>
      <c r="B23" s="8" t="s">
        <v>12</v>
      </c>
      <c r="C23" s="8">
        <v>5</v>
      </c>
      <c r="D23" s="9">
        <v>56</v>
      </c>
      <c r="E23" s="8" t="s">
        <v>25</v>
      </c>
      <c r="F23" s="8" t="s">
        <v>26</v>
      </c>
      <c r="G23" s="8">
        <v>37</v>
      </c>
      <c r="H23" s="8" t="s">
        <v>41</v>
      </c>
      <c r="I23" s="8"/>
    </row>
    <row r="24" spans="1:9" x14ac:dyDescent="0.15">
      <c r="A24" s="7">
        <v>22</v>
      </c>
      <c r="B24" s="8" t="s">
        <v>12</v>
      </c>
      <c r="C24" s="8">
        <v>6</v>
      </c>
      <c r="D24" s="9">
        <v>56</v>
      </c>
      <c r="E24" s="8" t="s">
        <v>25</v>
      </c>
      <c r="F24" s="8" t="s">
        <v>26</v>
      </c>
      <c r="G24" s="8">
        <v>37</v>
      </c>
      <c r="H24" s="8" t="s">
        <v>42</v>
      </c>
      <c r="I24" s="8"/>
    </row>
    <row r="25" spans="1:9" x14ac:dyDescent="0.15">
      <c r="A25" s="7">
        <v>23</v>
      </c>
      <c r="B25" s="8" t="s">
        <v>12</v>
      </c>
      <c r="C25" s="8">
        <v>7</v>
      </c>
      <c r="D25" s="9">
        <v>56</v>
      </c>
      <c r="E25" s="8" t="s">
        <v>25</v>
      </c>
      <c r="F25" s="8" t="s">
        <v>26</v>
      </c>
      <c r="G25" s="8">
        <v>37</v>
      </c>
      <c r="H25" s="8" t="s">
        <v>43</v>
      </c>
      <c r="I25" s="8"/>
    </row>
    <row r="26" spans="1:9" x14ac:dyDescent="0.15">
      <c r="A26" s="7">
        <v>24</v>
      </c>
      <c r="B26" s="8" t="s">
        <v>12</v>
      </c>
      <c r="C26" s="8">
        <v>10</v>
      </c>
      <c r="D26" s="9">
        <v>56</v>
      </c>
      <c r="E26" s="8" t="s">
        <v>25</v>
      </c>
      <c r="F26" s="8" t="s">
        <v>26</v>
      </c>
      <c r="G26" s="8">
        <v>37</v>
      </c>
      <c r="H26" s="8" t="s">
        <v>44</v>
      </c>
      <c r="I26" s="8"/>
    </row>
    <row r="27" spans="1:9" x14ac:dyDescent="0.15">
      <c r="A27" s="7">
        <v>25</v>
      </c>
      <c r="B27" s="8" t="s">
        <v>12</v>
      </c>
      <c r="C27" s="8">
        <v>13</v>
      </c>
      <c r="D27" s="9">
        <v>56</v>
      </c>
      <c r="E27" s="8" t="s">
        <v>25</v>
      </c>
      <c r="F27" s="8" t="s">
        <v>26</v>
      </c>
      <c r="G27" s="8">
        <v>37</v>
      </c>
      <c r="H27" s="8" t="s">
        <v>45</v>
      </c>
      <c r="I27" s="8"/>
    </row>
    <row r="28" spans="1:9" x14ac:dyDescent="0.15">
      <c r="A28" s="7">
        <v>26</v>
      </c>
      <c r="B28" s="8" t="s">
        <v>12</v>
      </c>
      <c r="C28" s="8">
        <v>2</v>
      </c>
      <c r="D28" s="9">
        <v>95</v>
      </c>
      <c r="E28" s="8" t="s">
        <v>25</v>
      </c>
      <c r="F28" s="8" t="s">
        <v>26</v>
      </c>
      <c r="G28" s="8">
        <v>39</v>
      </c>
      <c r="H28" s="8" t="s">
        <v>46</v>
      </c>
      <c r="I28" s="8"/>
    </row>
    <row r="29" spans="1:9" x14ac:dyDescent="0.15">
      <c r="A29" s="7">
        <v>27</v>
      </c>
      <c r="B29" s="8" t="s">
        <v>12</v>
      </c>
      <c r="C29" s="8">
        <v>3</v>
      </c>
      <c r="D29" s="9">
        <v>95</v>
      </c>
      <c r="E29" s="8" t="s">
        <v>25</v>
      </c>
      <c r="F29" s="8" t="s">
        <v>26</v>
      </c>
      <c r="G29" s="8">
        <v>39</v>
      </c>
      <c r="H29" s="8" t="s">
        <v>47</v>
      </c>
      <c r="I29" s="8" t="s">
        <v>48</v>
      </c>
    </row>
    <row r="30" spans="1:9" x14ac:dyDescent="0.15">
      <c r="A30" s="7">
        <v>28</v>
      </c>
      <c r="B30" s="8" t="s">
        <v>12</v>
      </c>
      <c r="C30" s="8">
        <v>4</v>
      </c>
      <c r="D30" s="9">
        <v>95</v>
      </c>
      <c r="E30" s="8" t="s">
        <v>25</v>
      </c>
      <c r="F30" s="8" t="s">
        <v>26</v>
      </c>
      <c r="G30" s="8">
        <v>39</v>
      </c>
      <c r="H30" s="8" t="s">
        <v>49</v>
      </c>
      <c r="I30" s="8"/>
    </row>
    <row r="31" spans="1:9" x14ac:dyDescent="0.15">
      <c r="A31" s="7">
        <v>29</v>
      </c>
      <c r="B31" s="8" t="s">
        <v>12</v>
      </c>
      <c r="C31" s="8">
        <v>5</v>
      </c>
      <c r="D31" s="9">
        <v>95</v>
      </c>
      <c r="E31" s="8" t="s">
        <v>25</v>
      </c>
      <c r="F31" s="8" t="s">
        <v>26</v>
      </c>
      <c r="G31" s="8">
        <v>39</v>
      </c>
      <c r="H31" s="8" t="s">
        <v>50</v>
      </c>
      <c r="I31" s="8"/>
    </row>
    <row r="32" spans="1:9" x14ac:dyDescent="0.15">
      <c r="A32" s="7">
        <v>30</v>
      </c>
      <c r="B32" s="8" t="s">
        <v>12</v>
      </c>
      <c r="C32" s="8">
        <v>6</v>
      </c>
      <c r="D32" s="9">
        <v>95</v>
      </c>
      <c r="E32" s="8" t="s">
        <v>25</v>
      </c>
      <c r="F32" s="8" t="s">
        <v>26</v>
      </c>
      <c r="G32" s="8">
        <v>39</v>
      </c>
      <c r="H32" s="8" t="s">
        <v>51</v>
      </c>
      <c r="I32" s="8"/>
    </row>
    <row r="33" spans="1:9" x14ac:dyDescent="0.15">
      <c r="A33" s="7">
        <v>31</v>
      </c>
      <c r="B33" s="8" t="s">
        <v>12</v>
      </c>
      <c r="C33" s="8">
        <v>7</v>
      </c>
      <c r="D33" s="9">
        <v>95</v>
      </c>
      <c r="E33" s="8" t="s">
        <v>25</v>
      </c>
      <c r="F33" s="8" t="s">
        <v>26</v>
      </c>
      <c r="G33" s="8">
        <v>39</v>
      </c>
      <c r="H33" s="8" t="s">
        <v>52</v>
      </c>
      <c r="I33" s="8"/>
    </row>
    <row r="34" spans="1:9" x14ac:dyDescent="0.15">
      <c r="A34" s="7">
        <v>32</v>
      </c>
      <c r="B34" s="8" t="s">
        <v>12</v>
      </c>
      <c r="C34" s="8">
        <v>10</v>
      </c>
      <c r="D34" s="9">
        <v>95</v>
      </c>
      <c r="E34" s="8" t="s">
        <v>25</v>
      </c>
      <c r="F34" s="8" t="s">
        <v>26</v>
      </c>
      <c r="G34" s="8">
        <v>39</v>
      </c>
      <c r="H34" s="8" t="s">
        <v>53</v>
      </c>
      <c r="I34" s="8"/>
    </row>
    <row r="35" spans="1:9" x14ac:dyDescent="0.15">
      <c r="A35" s="7">
        <v>33</v>
      </c>
      <c r="B35" s="8" t="s">
        <v>12</v>
      </c>
      <c r="C35" s="8">
        <v>13</v>
      </c>
      <c r="D35" s="9">
        <v>95</v>
      </c>
      <c r="E35" s="8" t="s">
        <v>25</v>
      </c>
      <c r="F35" s="8" t="s">
        <v>26</v>
      </c>
      <c r="G35" s="8">
        <v>39</v>
      </c>
      <c r="H35" s="8" t="s">
        <v>54</v>
      </c>
      <c r="I35" s="8"/>
    </row>
    <row r="36" spans="1:9" x14ac:dyDescent="0.15">
      <c r="A36" s="7">
        <v>34</v>
      </c>
      <c r="B36" s="8" t="s">
        <v>12</v>
      </c>
      <c r="C36" s="8">
        <v>8</v>
      </c>
      <c r="D36" s="9">
        <v>135</v>
      </c>
      <c r="E36" s="8" t="s">
        <v>13</v>
      </c>
      <c r="F36" s="8"/>
      <c r="G36" s="8"/>
      <c r="H36" s="8" t="s">
        <v>55</v>
      </c>
      <c r="I36" s="8" t="s">
        <v>56</v>
      </c>
    </row>
    <row r="37" spans="1:9" x14ac:dyDescent="0.15">
      <c r="A37" s="7">
        <v>35</v>
      </c>
      <c r="B37" s="8" t="s">
        <v>12</v>
      </c>
      <c r="C37" s="8">
        <v>8</v>
      </c>
      <c r="D37" s="9">
        <v>136</v>
      </c>
      <c r="E37" s="8" t="s">
        <v>13</v>
      </c>
      <c r="F37" s="8"/>
      <c r="G37" s="8"/>
      <c r="H37" s="8" t="s">
        <v>57</v>
      </c>
      <c r="I37" s="8" t="s">
        <v>58</v>
      </c>
    </row>
    <row r="38" spans="1:9" x14ac:dyDescent="0.15">
      <c r="A38" s="7">
        <v>36</v>
      </c>
      <c r="B38" s="8" t="s">
        <v>12</v>
      </c>
      <c r="C38" s="8">
        <v>8</v>
      </c>
      <c r="D38" s="9">
        <v>137</v>
      </c>
      <c r="E38" s="8" t="s">
        <v>13</v>
      </c>
      <c r="F38" s="8"/>
      <c r="G38" s="8"/>
      <c r="H38" s="8" t="s">
        <v>59</v>
      </c>
      <c r="I38" s="8" t="s">
        <v>60</v>
      </c>
    </row>
    <row r="39" spans="1:9" x14ac:dyDescent="0.15">
      <c r="A39" s="7">
        <v>37</v>
      </c>
      <c r="B39" s="8" t="s">
        <v>12</v>
      </c>
      <c r="C39" s="8">
        <v>11</v>
      </c>
      <c r="D39" s="9">
        <v>135</v>
      </c>
      <c r="E39" s="8" t="s">
        <v>13</v>
      </c>
      <c r="F39" s="8"/>
      <c r="G39" s="8"/>
      <c r="H39" s="8" t="s">
        <v>61</v>
      </c>
      <c r="I39" s="8"/>
    </row>
    <row r="40" spans="1:9" x14ac:dyDescent="0.15">
      <c r="A40" s="7">
        <v>38</v>
      </c>
      <c r="B40" s="8" t="s">
        <v>12</v>
      </c>
      <c r="C40" s="8">
        <v>11</v>
      </c>
      <c r="D40" s="9">
        <v>136</v>
      </c>
      <c r="E40" s="8" t="s">
        <v>13</v>
      </c>
      <c r="F40" s="8"/>
      <c r="G40" s="8"/>
      <c r="H40" s="8" t="s">
        <v>62</v>
      </c>
      <c r="I40" s="8"/>
    </row>
    <row r="41" spans="1:9" x14ac:dyDescent="0.15">
      <c r="A41" s="7">
        <v>39</v>
      </c>
      <c r="B41" s="8" t="s">
        <v>12</v>
      </c>
      <c r="C41" s="8">
        <v>11</v>
      </c>
      <c r="D41" s="9">
        <v>137</v>
      </c>
      <c r="E41" s="8" t="s">
        <v>13</v>
      </c>
      <c r="F41" s="8"/>
      <c r="G41" s="8"/>
      <c r="H41" s="8" t="s">
        <v>63</v>
      </c>
      <c r="I41" s="8"/>
    </row>
    <row r="42" spans="1:9" x14ac:dyDescent="0.15">
      <c r="A42" s="7">
        <v>40</v>
      </c>
      <c r="B42" s="8" t="s">
        <v>12</v>
      </c>
      <c r="C42" s="8">
        <v>14</v>
      </c>
      <c r="D42" s="9">
        <v>135</v>
      </c>
      <c r="E42" s="8" t="s">
        <v>13</v>
      </c>
      <c r="F42" s="8"/>
      <c r="G42" s="8"/>
      <c r="H42" s="8" t="s">
        <v>64</v>
      </c>
      <c r="I42" s="8"/>
    </row>
    <row r="43" spans="1:9" x14ac:dyDescent="0.15">
      <c r="A43" s="7">
        <v>41</v>
      </c>
      <c r="B43" s="8" t="s">
        <v>12</v>
      </c>
      <c r="C43" s="8">
        <v>14</v>
      </c>
      <c r="D43" s="9">
        <v>136</v>
      </c>
      <c r="E43" s="8" t="s">
        <v>13</v>
      </c>
      <c r="F43" s="8"/>
      <c r="G43" s="8"/>
      <c r="H43" s="8" t="s">
        <v>65</v>
      </c>
      <c r="I43" s="8"/>
    </row>
    <row r="44" spans="1:9" x14ac:dyDescent="0.15">
      <c r="A44" s="7">
        <v>42</v>
      </c>
      <c r="B44" s="8" t="s">
        <v>12</v>
      </c>
      <c r="C44" s="8">
        <v>14</v>
      </c>
      <c r="D44" s="9">
        <v>137</v>
      </c>
      <c r="E44" s="8" t="s">
        <v>13</v>
      </c>
      <c r="F44" s="8"/>
      <c r="G44" s="8"/>
      <c r="H44" s="8" t="s">
        <v>66</v>
      </c>
      <c r="I44" s="8"/>
    </row>
    <row r="45" spans="1:9" x14ac:dyDescent="0.15">
      <c r="A45" s="7">
        <v>43</v>
      </c>
      <c r="B45" s="8" t="s">
        <v>12</v>
      </c>
      <c r="C45" s="8">
        <v>18</v>
      </c>
      <c r="D45" s="9">
        <v>14</v>
      </c>
      <c r="E45" s="8" t="s">
        <v>13</v>
      </c>
      <c r="F45" s="8"/>
      <c r="G45" s="8"/>
      <c r="H45" s="322" t="s">
        <v>342</v>
      </c>
      <c r="I45" s="321"/>
    </row>
    <row r="46" spans="1:9" x14ac:dyDescent="0.15">
      <c r="A46" s="7">
        <v>44</v>
      </c>
      <c r="B46" s="8" t="s">
        <v>12</v>
      </c>
      <c r="C46" s="8">
        <v>18</v>
      </c>
      <c r="D46" s="9">
        <v>15</v>
      </c>
      <c r="E46" s="8" t="s">
        <v>13</v>
      </c>
      <c r="F46" s="8"/>
      <c r="G46" s="8"/>
      <c r="H46" s="322" t="s">
        <v>343</v>
      </c>
      <c r="I46" s="321"/>
    </row>
    <row r="47" spans="1:9" x14ac:dyDescent="0.15">
      <c r="A47" s="7">
        <v>45</v>
      </c>
      <c r="B47" s="8" t="s">
        <v>12</v>
      </c>
      <c r="C47" s="8">
        <v>18</v>
      </c>
      <c r="D47" s="9">
        <v>16</v>
      </c>
      <c r="E47" s="8" t="s">
        <v>13</v>
      </c>
      <c r="F47" s="8"/>
      <c r="G47" s="8"/>
      <c r="H47" s="322" t="s">
        <v>344</v>
      </c>
      <c r="I47" s="321"/>
    </row>
    <row r="48" spans="1:9" x14ac:dyDescent="0.15">
      <c r="A48" s="7">
        <v>46</v>
      </c>
      <c r="B48" s="8" t="s">
        <v>12</v>
      </c>
      <c r="C48" s="8">
        <v>20</v>
      </c>
      <c r="D48" s="9">
        <v>14</v>
      </c>
      <c r="E48" s="8" t="s">
        <v>13</v>
      </c>
      <c r="F48" s="8"/>
      <c r="G48" s="8"/>
      <c r="H48" s="322" t="s">
        <v>345</v>
      </c>
      <c r="I48" s="321"/>
    </row>
    <row r="49" spans="1:9" x14ac:dyDescent="0.15">
      <c r="A49" s="7">
        <v>47</v>
      </c>
      <c r="B49" s="8" t="s">
        <v>12</v>
      </c>
      <c r="C49" s="8">
        <v>20</v>
      </c>
      <c r="D49" s="9">
        <v>15</v>
      </c>
      <c r="E49" s="8" t="s">
        <v>13</v>
      </c>
      <c r="F49" s="8"/>
      <c r="G49" s="8"/>
      <c r="H49" s="322" t="s">
        <v>346</v>
      </c>
      <c r="I49" s="321"/>
    </row>
    <row r="50" spans="1:9" x14ac:dyDescent="0.15">
      <c r="A50" s="7">
        <v>48</v>
      </c>
      <c r="B50" s="8" t="s">
        <v>12</v>
      </c>
      <c r="C50" s="8">
        <v>20</v>
      </c>
      <c r="D50" s="9">
        <v>16</v>
      </c>
      <c r="E50" s="8" t="s">
        <v>13</v>
      </c>
      <c r="F50" s="8"/>
      <c r="G50" s="8"/>
      <c r="H50" s="322" t="s">
        <v>347</v>
      </c>
      <c r="I50" s="321"/>
    </row>
    <row r="51" spans="1:9" x14ac:dyDescent="0.15">
      <c r="A51" s="7">
        <v>49</v>
      </c>
      <c r="B51" s="8" t="s">
        <v>12</v>
      </c>
      <c r="C51" s="8">
        <v>22</v>
      </c>
      <c r="D51" s="9">
        <v>14</v>
      </c>
      <c r="E51" s="8" t="s">
        <v>13</v>
      </c>
      <c r="F51" s="8"/>
      <c r="G51" s="8"/>
      <c r="H51" s="322" t="s">
        <v>348</v>
      </c>
      <c r="I51" s="321"/>
    </row>
    <row r="52" spans="1:9" x14ac:dyDescent="0.15">
      <c r="A52" s="7">
        <v>50</v>
      </c>
      <c r="B52" s="8" t="s">
        <v>12</v>
      </c>
      <c r="C52" s="8">
        <v>22</v>
      </c>
      <c r="D52" s="9">
        <v>15</v>
      </c>
      <c r="E52" s="8" t="s">
        <v>13</v>
      </c>
      <c r="F52" s="8"/>
      <c r="G52" s="8"/>
      <c r="H52" s="322" t="s">
        <v>349</v>
      </c>
      <c r="I52" s="321"/>
    </row>
    <row r="53" spans="1:9" x14ac:dyDescent="0.15">
      <c r="A53" s="7">
        <v>51</v>
      </c>
      <c r="B53" s="8" t="s">
        <v>12</v>
      </c>
      <c r="C53" s="8">
        <v>22</v>
      </c>
      <c r="D53" s="9">
        <v>16</v>
      </c>
      <c r="E53" s="8" t="s">
        <v>13</v>
      </c>
      <c r="F53" s="8"/>
      <c r="G53" s="8"/>
      <c r="H53" s="322" t="s">
        <v>350</v>
      </c>
      <c r="I53" s="321"/>
    </row>
    <row r="54" spans="1:9" x14ac:dyDescent="0.15">
      <c r="A54" s="7">
        <v>52</v>
      </c>
      <c r="B54" s="8" t="s">
        <v>12</v>
      </c>
      <c r="C54" s="8">
        <v>18</v>
      </c>
      <c r="D54" s="9">
        <v>96</v>
      </c>
      <c r="E54" s="8" t="s">
        <v>13</v>
      </c>
      <c r="F54" s="8"/>
      <c r="G54" s="8"/>
      <c r="H54" s="322" t="s">
        <v>337</v>
      </c>
      <c r="I54" s="321"/>
    </row>
    <row r="55" spans="1:9" x14ac:dyDescent="0.15">
      <c r="A55" s="7">
        <v>53</v>
      </c>
      <c r="B55" s="8" t="s">
        <v>12</v>
      </c>
      <c r="C55" s="8">
        <v>18</v>
      </c>
      <c r="D55" s="9">
        <v>138</v>
      </c>
      <c r="E55" s="8" t="s">
        <v>13</v>
      </c>
      <c r="F55" s="8"/>
      <c r="G55" s="8"/>
      <c r="H55" s="322" t="s">
        <v>351</v>
      </c>
      <c r="I55" s="321"/>
    </row>
    <row r="56" spans="1:9" x14ac:dyDescent="0.15">
      <c r="A56" s="7">
        <v>54</v>
      </c>
      <c r="B56" s="8" t="s">
        <v>12</v>
      </c>
      <c r="C56" s="8">
        <v>4</v>
      </c>
      <c r="D56" s="9">
        <v>148</v>
      </c>
      <c r="E56" s="8" t="s">
        <v>13</v>
      </c>
      <c r="F56" s="8"/>
      <c r="G56" s="8"/>
      <c r="H56" s="322" t="s">
        <v>364</v>
      </c>
      <c r="I56" s="321" t="s">
        <v>339</v>
      </c>
    </row>
    <row r="57" spans="1:9" x14ac:dyDescent="0.15">
      <c r="A57" s="7">
        <v>55</v>
      </c>
      <c r="B57" s="8" t="s">
        <v>12</v>
      </c>
      <c r="C57" s="8">
        <v>4</v>
      </c>
      <c r="D57" s="9">
        <v>149</v>
      </c>
      <c r="E57" s="8" t="s">
        <v>13</v>
      </c>
      <c r="F57" s="8"/>
      <c r="G57" s="8"/>
      <c r="H57" s="8" t="s">
        <v>0</v>
      </c>
      <c r="I57" s="8" t="s">
        <v>67</v>
      </c>
    </row>
    <row r="58" spans="1:9" x14ac:dyDescent="0.15">
      <c r="A58" s="7">
        <v>56</v>
      </c>
      <c r="B58" s="8" t="s">
        <v>12</v>
      </c>
      <c r="C58" s="8">
        <v>4</v>
      </c>
      <c r="D58" s="9">
        <v>150</v>
      </c>
      <c r="E58" s="8" t="s">
        <v>13</v>
      </c>
      <c r="F58" s="8"/>
      <c r="G58" s="8"/>
      <c r="H58" s="8" t="s">
        <v>1</v>
      </c>
      <c r="I58" s="8"/>
    </row>
    <row r="59" spans="1:9" x14ac:dyDescent="0.15">
      <c r="A59" s="7">
        <v>57</v>
      </c>
      <c r="B59" s="8" t="s">
        <v>12</v>
      </c>
      <c r="C59" s="8">
        <v>4</v>
      </c>
      <c r="D59" s="9">
        <v>151</v>
      </c>
      <c r="E59" s="8" t="s">
        <v>13</v>
      </c>
      <c r="F59" s="8"/>
      <c r="G59" s="8"/>
      <c r="H59" s="8" t="s">
        <v>68</v>
      </c>
      <c r="I59" s="8"/>
    </row>
    <row r="60" spans="1:9" x14ac:dyDescent="0.15">
      <c r="A60" s="7">
        <v>58</v>
      </c>
      <c r="B60" s="8" t="s">
        <v>12</v>
      </c>
      <c r="C60" s="8">
        <v>4</v>
      </c>
      <c r="D60" s="9">
        <v>152</v>
      </c>
      <c r="E60" s="8" t="s">
        <v>13</v>
      </c>
      <c r="F60" s="8"/>
      <c r="G60" s="8"/>
      <c r="H60" s="8" t="s">
        <v>69</v>
      </c>
      <c r="I60" s="8"/>
    </row>
    <row r="61" spans="1:9" x14ac:dyDescent="0.15">
      <c r="A61" s="7">
        <v>59</v>
      </c>
      <c r="B61" s="8" t="s">
        <v>12</v>
      </c>
      <c r="C61" s="8">
        <v>4</v>
      </c>
      <c r="D61" s="9">
        <v>153</v>
      </c>
      <c r="E61" s="8" t="s">
        <v>13</v>
      </c>
      <c r="F61" s="8"/>
      <c r="G61" s="8"/>
      <c r="H61" s="8" t="s">
        <v>70</v>
      </c>
      <c r="I61" s="8"/>
    </row>
    <row r="62" spans="1:9" x14ac:dyDescent="0.15">
      <c r="A62" s="7">
        <v>60</v>
      </c>
      <c r="B62" s="8" t="s">
        <v>12</v>
      </c>
      <c r="C62" s="8">
        <v>4</v>
      </c>
      <c r="D62" s="9">
        <v>154</v>
      </c>
      <c r="E62" s="8" t="s">
        <v>13</v>
      </c>
      <c r="F62" s="8"/>
      <c r="G62" s="8"/>
      <c r="H62" s="8" t="s">
        <v>71</v>
      </c>
      <c r="I62" s="8"/>
    </row>
    <row r="63" spans="1:9" x14ac:dyDescent="0.15">
      <c r="A63" s="7">
        <v>61</v>
      </c>
      <c r="B63" s="8" t="s">
        <v>12</v>
      </c>
      <c r="C63" s="8">
        <v>4</v>
      </c>
      <c r="D63" s="9">
        <v>155</v>
      </c>
      <c r="E63" s="8" t="s">
        <v>13</v>
      </c>
      <c r="F63" s="8"/>
      <c r="G63" s="8"/>
      <c r="H63" s="8" t="s">
        <v>72</v>
      </c>
      <c r="I63" s="8"/>
    </row>
    <row r="64" spans="1:9" x14ac:dyDescent="0.15">
      <c r="A64" s="7">
        <v>62</v>
      </c>
      <c r="B64" s="8" t="s">
        <v>12</v>
      </c>
      <c r="C64" s="8">
        <v>4</v>
      </c>
      <c r="D64" s="9">
        <v>156</v>
      </c>
      <c r="E64" s="8" t="s">
        <v>13</v>
      </c>
      <c r="F64" s="8"/>
      <c r="G64" s="8"/>
      <c r="H64" s="8" t="s">
        <v>73</v>
      </c>
      <c r="I64" s="8"/>
    </row>
    <row r="65" spans="1:9" x14ac:dyDescent="0.15">
      <c r="A65" s="7">
        <v>63</v>
      </c>
      <c r="B65" s="8" t="s">
        <v>12</v>
      </c>
      <c r="C65" s="8">
        <v>4</v>
      </c>
      <c r="D65" s="9">
        <v>157</v>
      </c>
      <c r="E65" s="8" t="s">
        <v>13</v>
      </c>
      <c r="F65" s="8"/>
      <c r="G65" s="8"/>
      <c r="H65" s="8" t="s">
        <v>74</v>
      </c>
      <c r="I65" s="8"/>
    </row>
    <row r="66" spans="1:9" x14ac:dyDescent="0.15">
      <c r="A66" s="7">
        <v>64</v>
      </c>
      <c r="B66" s="8" t="s">
        <v>12</v>
      </c>
      <c r="C66" s="8">
        <v>8</v>
      </c>
      <c r="D66" s="9">
        <v>142</v>
      </c>
      <c r="E66" s="8" t="s">
        <v>13</v>
      </c>
      <c r="F66" s="8"/>
      <c r="G66" s="8"/>
      <c r="H66" s="8" t="s">
        <v>75</v>
      </c>
      <c r="I66" s="8"/>
    </row>
    <row r="67" spans="1:9" x14ac:dyDescent="0.15">
      <c r="A67" s="7">
        <v>65</v>
      </c>
      <c r="B67" s="8" t="s">
        <v>12</v>
      </c>
      <c r="C67" s="8">
        <v>8</v>
      </c>
      <c r="D67" s="9">
        <v>144</v>
      </c>
      <c r="E67" s="8" t="s">
        <v>13</v>
      </c>
      <c r="F67" s="8"/>
      <c r="G67" s="8"/>
      <c r="H67" s="8" t="s">
        <v>76</v>
      </c>
      <c r="I67" s="8"/>
    </row>
    <row r="68" spans="1:9" x14ac:dyDescent="0.15">
      <c r="A68" s="7">
        <v>66</v>
      </c>
      <c r="B68" s="8" t="s">
        <v>12</v>
      </c>
      <c r="C68" s="8">
        <v>8</v>
      </c>
      <c r="D68" s="9">
        <v>147</v>
      </c>
      <c r="E68" s="8" t="s">
        <v>13</v>
      </c>
      <c r="F68" s="8"/>
      <c r="G68" s="8"/>
      <c r="H68" s="8" t="s">
        <v>77</v>
      </c>
      <c r="I68" s="8"/>
    </row>
    <row r="69" spans="1:9" x14ac:dyDescent="0.15">
      <c r="A69" s="7">
        <v>67</v>
      </c>
      <c r="B69" s="8" t="s">
        <v>12</v>
      </c>
      <c r="C69" s="8">
        <v>11</v>
      </c>
      <c r="D69" s="9">
        <v>142</v>
      </c>
      <c r="E69" s="8" t="s">
        <v>13</v>
      </c>
      <c r="F69" s="8"/>
      <c r="G69" s="8"/>
      <c r="H69" s="8" t="s">
        <v>78</v>
      </c>
      <c r="I69" s="8"/>
    </row>
    <row r="70" spans="1:9" x14ac:dyDescent="0.15">
      <c r="A70" s="7">
        <v>68</v>
      </c>
      <c r="B70" s="8" t="s">
        <v>12</v>
      </c>
      <c r="C70" s="8">
        <v>11</v>
      </c>
      <c r="D70" s="9">
        <v>144</v>
      </c>
      <c r="E70" s="8" t="s">
        <v>13</v>
      </c>
      <c r="F70" s="8"/>
      <c r="G70" s="8"/>
      <c r="H70" s="8" t="s">
        <v>79</v>
      </c>
      <c r="I70" s="8"/>
    </row>
    <row r="71" spans="1:9" x14ac:dyDescent="0.15">
      <c r="A71" s="7">
        <v>69</v>
      </c>
      <c r="B71" s="8" t="s">
        <v>12</v>
      </c>
      <c r="C71" s="8">
        <v>11</v>
      </c>
      <c r="D71" s="9">
        <v>147</v>
      </c>
      <c r="E71" s="8" t="s">
        <v>13</v>
      </c>
      <c r="F71" s="8"/>
      <c r="G71" s="8"/>
      <c r="H71" s="8" t="s">
        <v>80</v>
      </c>
      <c r="I71" s="8"/>
    </row>
    <row r="72" spans="1:9" x14ac:dyDescent="0.15">
      <c r="A72" s="7">
        <v>70</v>
      </c>
      <c r="B72" s="8" t="s">
        <v>12</v>
      </c>
      <c r="C72" s="8">
        <v>14</v>
      </c>
      <c r="D72" s="9">
        <v>142</v>
      </c>
      <c r="E72" s="8" t="s">
        <v>13</v>
      </c>
      <c r="F72" s="8"/>
      <c r="G72" s="8"/>
      <c r="H72" s="8" t="s">
        <v>81</v>
      </c>
      <c r="I72" s="8"/>
    </row>
    <row r="73" spans="1:9" x14ac:dyDescent="0.15">
      <c r="A73" s="7">
        <v>71</v>
      </c>
      <c r="B73" s="8" t="s">
        <v>12</v>
      </c>
      <c r="C73" s="8">
        <v>14</v>
      </c>
      <c r="D73" s="9">
        <v>144</v>
      </c>
      <c r="E73" s="8" t="s">
        <v>13</v>
      </c>
      <c r="F73" s="8"/>
      <c r="G73" s="8"/>
      <c r="H73" s="8" t="s">
        <v>82</v>
      </c>
      <c r="I73" s="8"/>
    </row>
    <row r="74" spans="1:9" x14ac:dyDescent="0.15">
      <c r="A74" s="7">
        <v>72</v>
      </c>
      <c r="B74" s="8" t="s">
        <v>12</v>
      </c>
      <c r="C74" s="8">
        <v>14</v>
      </c>
      <c r="D74" s="9">
        <v>147</v>
      </c>
      <c r="E74" s="8" t="s">
        <v>13</v>
      </c>
      <c r="F74" s="8"/>
      <c r="G74" s="8"/>
      <c r="H74" s="8" t="s">
        <v>83</v>
      </c>
      <c r="I74" s="8"/>
    </row>
    <row r="75" spans="1:9" x14ac:dyDescent="0.15">
      <c r="A75" s="7">
        <v>73</v>
      </c>
      <c r="B75" s="8" t="s">
        <v>12</v>
      </c>
      <c r="C75" s="8">
        <v>1</v>
      </c>
      <c r="D75" s="9">
        <v>168</v>
      </c>
      <c r="E75" s="8" t="s">
        <v>25</v>
      </c>
      <c r="F75" s="8" t="s">
        <v>26</v>
      </c>
      <c r="G75" s="8">
        <v>15</v>
      </c>
      <c r="H75" s="8" t="s">
        <v>84</v>
      </c>
      <c r="I75" s="8" t="s">
        <v>85</v>
      </c>
    </row>
    <row r="76" spans="1:9" x14ac:dyDescent="0.15">
      <c r="A76" s="7">
        <v>74</v>
      </c>
      <c r="B76" s="8" t="s">
        <v>12</v>
      </c>
      <c r="C76" s="8">
        <v>3</v>
      </c>
      <c r="D76" s="9">
        <v>168</v>
      </c>
      <c r="E76" s="8" t="s">
        <v>25</v>
      </c>
      <c r="F76" s="8" t="s">
        <v>26</v>
      </c>
      <c r="G76" s="8">
        <v>15</v>
      </c>
      <c r="H76" s="8" t="s">
        <v>86</v>
      </c>
      <c r="I76" s="8" t="s">
        <v>85</v>
      </c>
    </row>
    <row r="77" spans="1:9" x14ac:dyDescent="0.15">
      <c r="A77" s="7">
        <v>75</v>
      </c>
      <c r="B77" s="8" t="s">
        <v>12</v>
      </c>
      <c r="C77" s="8">
        <v>4</v>
      </c>
      <c r="D77" s="9">
        <v>168</v>
      </c>
      <c r="E77" s="8" t="s">
        <v>25</v>
      </c>
      <c r="F77" s="8" t="s">
        <v>26</v>
      </c>
      <c r="G77" s="8">
        <v>15</v>
      </c>
      <c r="H77" s="8" t="s">
        <v>87</v>
      </c>
      <c r="I77" s="8" t="s">
        <v>85</v>
      </c>
    </row>
    <row r="78" spans="1:9" x14ac:dyDescent="0.15">
      <c r="A78" s="7">
        <v>76</v>
      </c>
      <c r="B78" s="8" t="s">
        <v>12</v>
      </c>
      <c r="C78" s="8">
        <v>5</v>
      </c>
      <c r="D78" s="9">
        <v>168</v>
      </c>
      <c r="E78" s="8" t="s">
        <v>25</v>
      </c>
      <c r="F78" s="8" t="s">
        <v>26</v>
      </c>
      <c r="G78" s="8">
        <v>15</v>
      </c>
      <c r="H78" s="8" t="s">
        <v>88</v>
      </c>
      <c r="I78" s="8" t="s">
        <v>85</v>
      </c>
    </row>
    <row r="79" spans="1:9" x14ac:dyDescent="0.15">
      <c r="A79" s="7">
        <v>77</v>
      </c>
      <c r="B79" s="8" t="s">
        <v>12</v>
      </c>
      <c r="C79" s="8">
        <v>6</v>
      </c>
      <c r="D79" s="9">
        <v>168</v>
      </c>
      <c r="E79" s="8" t="s">
        <v>25</v>
      </c>
      <c r="F79" s="8" t="s">
        <v>26</v>
      </c>
      <c r="G79" s="8">
        <v>15</v>
      </c>
      <c r="H79" s="8" t="s">
        <v>89</v>
      </c>
      <c r="I79" s="8" t="s">
        <v>85</v>
      </c>
    </row>
    <row r="80" spans="1:9" x14ac:dyDescent="0.15">
      <c r="A80" s="7">
        <v>78</v>
      </c>
      <c r="B80" s="8" t="s">
        <v>12</v>
      </c>
      <c r="C80" s="8">
        <v>7</v>
      </c>
      <c r="D80" s="9">
        <v>168</v>
      </c>
      <c r="E80" s="8" t="s">
        <v>25</v>
      </c>
      <c r="F80" s="8" t="s">
        <v>26</v>
      </c>
      <c r="G80" s="8">
        <v>15</v>
      </c>
      <c r="H80" s="8" t="s">
        <v>90</v>
      </c>
      <c r="I80" s="8" t="s">
        <v>85</v>
      </c>
    </row>
    <row r="81" spans="1:9" x14ac:dyDescent="0.15">
      <c r="A81" s="7">
        <v>79</v>
      </c>
      <c r="B81" s="8" t="s">
        <v>12</v>
      </c>
      <c r="C81" s="8">
        <v>8</v>
      </c>
      <c r="D81" s="9">
        <v>160</v>
      </c>
      <c r="E81" s="8" t="s">
        <v>13</v>
      </c>
      <c r="F81" s="8"/>
      <c r="G81" s="8"/>
      <c r="H81" s="8" t="s">
        <v>374</v>
      </c>
      <c r="I81" s="8"/>
    </row>
    <row r="82" spans="1:9" x14ac:dyDescent="0.15">
      <c r="A82" s="7">
        <v>80</v>
      </c>
      <c r="B82" s="8" t="s">
        <v>12</v>
      </c>
      <c r="C82" s="8">
        <v>11</v>
      </c>
      <c r="D82" s="9">
        <v>160</v>
      </c>
      <c r="E82" s="8" t="s">
        <v>13</v>
      </c>
      <c r="F82" s="8"/>
      <c r="G82" s="8"/>
      <c r="H82" s="8" t="s">
        <v>375</v>
      </c>
      <c r="I82" s="8"/>
    </row>
    <row r="83" spans="1:9" x14ac:dyDescent="0.15">
      <c r="A83" s="7">
        <v>81</v>
      </c>
      <c r="B83" s="8" t="s">
        <v>12</v>
      </c>
      <c r="C83" s="8">
        <v>14</v>
      </c>
      <c r="D83" s="9">
        <v>160</v>
      </c>
      <c r="E83" s="8" t="s">
        <v>13</v>
      </c>
      <c r="F83" s="8"/>
      <c r="G83" s="8"/>
      <c r="H83" s="8" t="s">
        <v>376</v>
      </c>
      <c r="I83" s="8"/>
    </row>
    <row r="84" spans="1:9" x14ac:dyDescent="0.15">
      <c r="A84" s="7">
        <v>82</v>
      </c>
      <c r="B84" s="8" t="s">
        <v>12</v>
      </c>
      <c r="C84" s="8">
        <v>8</v>
      </c>
      <c r="D84" s="9">
        <v>161</v>
      </c>
      <c r="E84" s="8" t="s">
        <v>13</v>
      </c>
      <c r="F84" s="8"/>
      <c r="G84" s="8"/>
      <c r="H84" s="8" t="s">
        <v>380</v>
      </c>
      <c r="I84" s="8"/>
    </row>
    <row r="85" spans="1:9" x14ac:dyDescent="0.15">
      <c r="A85" s="7">
        <v>83</v>
      </c>
      <c r="B85" s="8" t="s">
        <v>12</v>
      </c>
      <c r="C85" s="8">
        <v>11</v>
      </c>
      <c r="D85" s="9">
        <v>161</v>
      </c>
      <c r="E85" s="8" t="s">
        <v>13</v>
      </c>
      <c r="F85" s="8"/>
      <c r="G85" s="8"/>
      <c r="H85" s="8" t="s">
        <v>381</v>
      </c>
      <c r="I85" s="8"/>
    </row>
    <row r="86" spans="1:9" x14ac:dyDescent="0.15">
      <c r="A86" s="7">
        <v>84</v>
      </c>
      <c r="B86" s="8" t="s">
        <v>12</v>
      </c>
      <c r="C86" s="8">
        <v>14</v>
      </c>
      <c r="D86" s="9">
        <v>161</v>
      </c>
      <c r="E86" s="8" t="s">
        <v>13</v>
      </c>
      <c r="F86" s="8"/>
      <c r="G86" s="8"/>
      <c r="H86" s="8" t="s">
        <v>382</v>
      </c>
      <c r="I86" s="8"/>
    </row>
    <row r="87" spans="1:9" x14ac:dyDescent="0.15">
      <c r="A87" s="7">
        <v>85</v>
      </c>
      <c r="B87" s="8" t="s">
        <v>268</v>
      </c>
      <c r="C87" s="8">
        <v>9</v>
      </c>
      <c r="D87" s="9">
        <v>161</v>
      </c>
      <c r="E87" s="8" t="s">
        <v>371</v>
      </c>
      <c r="F87" s="8"/>
      <c r="G87" s="8"/>
      <c r="H87" s="8" t="s">
        <v>377</v>
      </c>
      <c r="I87" s="8"/>
    </row>
    <row r="88" spans="1:9" x14ac:dyDescent="0.15">
      <c r="A88" s="7">
        <v>86</v>
      </c>
      <c r="B88" s="8" t="s">
        <v>268</v>
      </c>
      <c r="C88" s="8">
        <v>12</v>
      </c>
      <c r="D88" s="9">
        <v>161</v>
      </c>
      <c r="E88" s="8" t="s">
        <v>371</v>
      </c>
      <c r="F88" s="8"/>
      <c r="G88" s="8"/>
      <c r="H88" s="8" t="s">
        <v>378</v>
      </c>
      <c r="I88" s="8"/>
    </row>
    <row r="89" spans="1:9" x14ac:dyDescent="0.15">
      <c r="A89" s="7">
        <v>87</v>
      </c>
      <c r="B89" s="8" t="s">
        <v>268</v>
      </c>
      <c r="C89" s="8">
        <v>15</v>
      </c>
      <c r="D89" s="9">
        <v>161</v>
      </c>
      <c r="E89" s="8" t="s">
        <v>371</v>
      </c>
      <c r="F89" s="8"/>
      <c r="G89" s="8"/>
      <c r="H89" s="8" t="s">
        <v>379</v>
      </c>
      <c r="I89" s="8"/>
    </row>
    <row r="90" spans="1:9" x14ac:dyDescent="0.15">
      <c r="A90" s="7">
        <v>88</v>
      </c>
      <c r="B90" s="8" t="s">
        <v>12</v>
      </c>
      <c r="C90" s="8">
        <v>8</v>
      </c>
      <c r="D90" s="9">
        <v>162</v>
      </c>
      <c r="E90" s="8" t="s">
        <v>13</v>
      </c>
      <c r="F90" s="8"/>
      <c r="G90" s="8"/>
      <c r="H90" s="8" t="s">
        <v>383</v>
      </c>
      <c r="I90" s="321" t="s">
        <v>340</v>
      </c>
    </row>
    <row r="91" spans="1:9" x14ac:dyDescent="0.15">
      <c r="A91" s="7">
        <v>89</v>
      </c>
      <c r="B91" s="8" t="s">
        <v>12</v>
      </c>
      <c r="C91" s="8">
        <v>11</v>
      </c>
      <c r="D91" s="9">
        <v>162</v>
      </c>
      <c r="E91" s="8" t="s">
        <v>13</v>
      </c>
      <c r="F91" s="8"/>
      <c r="G91" s="8"/>
      <c r="H91" s="8" t="s">
        <v>384</v>
      </c>
      <c r="I91" s="321" t="s">
        <v>340</v>
      </c>
    </row>
    <row r="92" spans="1:9" x14ac:dyDescent="0.15">
      <c r="A92" s="7">
        <v>90</v>
      </c>
      <c r="B92" s="8" t="s">
        <v>12</v>
      </c>
      <c r="C92" s="8">
        <v>14</v>
      </c>
      <c r="D92" s="9">
        <v>162</v>
      </c>
      <c r="E92" s="8" t="s">
        <v>13</v>
      </c>
      <c r="F92" s="8"/>
      <c r="G92" s="8"/>
      <c r="H92" s="8" t="s">
        <v>385</v>
      </c>
      <c r="I92" s="321" t="s">
        <v>340</v>
      </c>
    </row>
    <row r="93" spans="1:9" x14ac:dyDescent="0.15">
      <c r="A93" s="7">
        <v>91</v>
      </c>
      <c r="B93" s="8" t="s">
        <v>12</v>
      </c>
      <c r="C93" s="8">
        <v>8</v>
      </c>
      <c r="D93" s="9">
        <v>163</v>
      </c>
      <c r="E93" s="8" t="s">
        <v>13</v>
      </c>
      <c r="F93" s="8"/>
      <c r="G93" s="8"/>
      <c r="H93" s="322" t="s">
        <v>392</v>
      </c>
      <c r="I93" s="321" t="s">
        <v>341</v>
      </c>
    </row>
    <row r="94" spans="1:9" x14ac:dyDescent="0.15">
      <c r="A94" s="7">
        <v>92</v>
      </c>
      <c r="B94" s="8" t="s">
        <v>12</v>
      </c>
      <c r="C94" s="8">
        <v>11</v>
      </c>
      <c r="D94" s="9">
        <v>163</v>
      </c>
      <c r="E94" s="8" t="s">
        <v>13</v>
      </c>
      <c r="F94" s="8"/>
      <c r="G94" s="8"/>
      <c r="H94" s="322" t="s">
        <v>393</v>
      </c>
      <c r="I94" s="321" t="s">
        <v>341</v>
      </c>
    </row>
    <row r="95" spans="1:9" x14ac:dyDescent="0.15">
      <c r="A95" s="7">
        <v>93</v>
      </c>
      <c r="B95" s="8" t="s">
        <v>12</v>
      </c>
      <c r="C95" s="8">
        <v>14</v>
      </c>
      <c r="D95" s="9">
        <v>163</v>
      </c>
      <c r="E95" s="8" t="s">
        <v>13</v>
      </c>
      <c r="F95" s="8"/>
      <c r="G95" s="8"/>
      <c r="H95" s="322" t="s">
        <v>394</v>
      </c>
      <c r="I95" s="321" t="s">
        <v>341</v>
      </c>
    </row>
    <row r="96" spans="1:9" x14ac:dyDescent="0.15">
      <c r="A96" s="7">
        <v>94</v>
      </c>
      <c r="B96" s="8" t="s">
        <v>12</v>
      </c>
      <c r="C96" s="8">
        <v>8</v>
      </c>
      <c r="D96" s="9">
        <v>164</v>
      </c>
      <c r="E96" s="8" t="s">
        <v>13</v>
      </c>
      <c r="F96" s="8"/>
      <c r="G96" s="8"/>
      <c r="H96" s="8" t="s">
        <v>389</v>
      </c>
      <c r="I96" s="321" t="s">
        <v>365</v>
      </c>
    </row>
    <row r="97" spans="1:9" x14ac:dyDescent="0.15">
      <c r="A97" s="7">
        <v>95</v>
      </c>
      <c r="B97" s="8" t="s">
        <v>12</v>
      </c>
      <c r="C97" s="8">
        <v>11</v>
      </c>
      <c r="D97" s="9">
        <v>164</v>
      </c>
      <c r="E97" s="8" t="s">
        <v>13</v>
      </c>
      <c r="F97" s="8"/>
      <c r="G97" s="8"/>
      <c r="H97" s="8" t="s">
        <v>390</v>
      </c>
      <c r="I97" s="321" t="s">
        <v>365</v>
      </c>
    </row>
    <row r="98" spans="1:9" x14ac:dyDescent="0.15">
      <c r="A98" s="7">
        <v>96</v>
      </c>
      <c r="B98" s="8" t="s">
        <v>12</v>
      </c>
      <c r="C98" s="8">
        <v>14</v>
      </c>
      <c r="D98" s="9">
        <v>164</v>
      </c>
      <c r="E98" s="8" t="s">
        <v>13</v>
      </c>
      <c r="F98" s="8"/>
      <c r="G98" s="8"/>
      <c r="H98" s="8" t="s">
        <v>391</v>
      </c>
      <c r="I98" s="321" t="s">
        <v>365</v>
      </c>
    </row>
    <row r="99" spans="1:9" x14ac:dyDescent="0.15">
      <c r="A99" s="7">
        <v>97</v>
      </c>
      <c r="B99" s="8" t="s">
        <v>12</v>
      </c>
      <c r="C99" s="8">
        <v>9</v>
      </c>
      <c r="D99" s="9">
        <v>164</v>
      </c>
      <c r="E99" s="8" t="s">
        <v>13</v>
      </c>
      <c r="F99" s="8"/>
      <c r="G99" s="8"/>
      <c r="H99" s="8" t="s">
        <v>395</v>
      </c>
      <c r="I99" s="321" t="s">
        <v>366</v>
      </c>
    </row>
    <row r="100" spans="1:9" x14ac:dyDescent="0.15">
      <c r="A100" s="7">
        <v>98</v>
      </c>
      <c r="B100" s="8" t="s">
        <v>12</v>
      </c>
      <c r="C100" s="8">
        <v>12</v>
      </c>
      <c r="D100" s="9">
        <v>164</v>
      </c>
      <c r="E100" s="8" t="s">
        <v>13</v>
      </c>
      <c r="F100" s="8"/>
      <c r="G100" s="8"/>
      <c r="H100" s="8" t="s">
        <v>396</v>
      </c>
      <c r="I100" s="321" t="s">
        <v>366</v>
      </c>
    </row>
    <row r="101" spans="1:9" x14ac:dyDescent="0.15">
      <c r="A101" s="7">
        <v>99</v>
      </c>
      <c r="B101" s="8" t="s">
        <v>12</v>
      </c>
      <c r="C101" s="8">
        <v>15</v>
      </c>
      <c r="D101" s="9">
        <v>164</v>
      </c>
      <c r="E101" s="8" t="s">
        <v>13</v>
      </c>
      <c r="F101" s="8"/>
      <c r="G101" s="8"/>
      <c r="H101" s="8" t="s">
        <v>397</v>
      </c>
      <c r="I101" s="321" t="s">
        <v>366</v>
      </c>
    </row>
    <row r="102" spans="1:9" x14ac:dyDescent="0.15">
      <c r="A102" s="7">
        <v>100</v>
      </c>
      <c r="B102" s="8" t="s">
        <v>12</v>
      </c>
      <c r="C102" s="8">
        <v>8</v>
      </c>
      <c r="D102" s="9">
        <v>165</v>
      </c>
      <c r="E102" s="8" t="s">
        <v>13</v>
      </c>
      <c r="F102" s="8"/>
      <c r="G102" s="8"/>
      <c r="H102" s="8" t="s">
        <v>386</v>
      </c>
      <c r="I102" s="321" t="s">
        <v>367</v>
      </c>
    </row>
    <row r="103" spans="1:9" x14ac:dyDescent="0.15">
      <c r="A103" s="7">
        <v>101</v>
      </c>
      <c r="B103" s="8" t="s">
        <v>12</v>
      </c>
      <c r="C103" s="8">
        <v>11</v>
      </c>
      <c r="D103" s="9">
        <v>165</v>
      </c>
      <c r="E103" s="8" t="s">
        <v>13</v>
      </c>
      <c r="F103" s="8"/>
      <c r="G103" s="8"/>
      <c r="H103" s="8" t="s">
        <v>387</v>
      </c>
      <c r="I103" s="321" t="s">
        <v>367</v>
      </c>
    </row>
    <row r="104" spans="1:9" x14ac:dyDescent="0.15">
      <c r="A104" s="7">
        <v>102</v>
      </c>
      <c r="B104" s="8" t="s">
        <v>12</v>
      </c>
      <c r="C104" s="8">
        <v>14</v>
      </c>
      <c r="D104" s="9">
        <v>165</v>
      </c>
      <c r="E104" s="8" t="s">
        <v>13</v>
      </c>
      <c r="F104" s="8"/>
      <c r="G104" s="8"/>
      <c r="H104" s="8" t="s">
        <v>388</v>
      </c>
      <c r="I104" s="321" t="s">
        <v>367</v>
      </c>
    </row>
    <row r="105" spans="1:9" x14ac:dyDescent="0.15">
      <c r="A105" s="7">
        <v>103</v>
      </c>
      <c r="B105" s="8" t="s">
        <v>12</v>
      </c>
      <c r="C105" s="8">
        <v>9</v>
      </c>
      <c r="D105" s="9">
        <v>165</v>
      </c>
      <c r="E105" s="8" t="s">
        <v>13</v>
      </c>
      <c r="F105" s="8"/>
      <c r="G105" s="8"/>
      <c r="H105" s="8" t="s">
        <v>398</v>
      </c>
      <c r="I105" s="321" t="s">
        <v>366</v>
      </c>
    </row>
    <row r="106" spans="1:9" x14ac:dyDescent="0.15">
      <c r="A106" s="7">
        <v>104</v>
      </c>
      <c r="B106" s="8" t="s">
        <v>12</v>
      </c>
      <c r="C106" s="8">
        <v>12</v>
      </c>
      <c r="D106" s="9">
        <v>165</v>
      </c>
      <c r="E106" s="8" t="s">
        <v>13</v>
      </c>
      <c r="F106" s="8"/>
      <c r="G106" s="8"/>
      <c r="H106" s="8" t="s">
        <v>399</v>
      </c>
      <c r="I106" s="321" t="s">
        <v>366</v>
      </c>
    </row>
    <row r="107" spans="1:9" x14ac:dyDescent="0.15">
      <c r="A107" s="7">
        <v>105</v>
      </c>
      <c r="B107" s="8" t="s">
        <v>12</v>
      </c>
      <c r="C107" s="8">
        <v>15</v>
      </c>
      <c r="D107" s="9">
        <v>165</v>
      </c>
      <c r="E107" s="8" t="s">
        <v>13</v>
      </c>
      <c r="F107" s="8"/>
      <c r="G107" s="8"/>
      <c r="H107" s="8" t="s">
        <v>400</v>
      </c>
      <c r="I107" s="321" t="s">
        <v>366</v>
      </c>
    </row>
    <row r="108" spans="1:9" x14ac:dyDescent="0.15">
      <c r="A108" s="7">
        <v>106</v>
      </c>
      <c r="B108" s="8" t="s">
        <v>12</v>
      </c>
      <c r="C108" s="8">
        <v>8</v>
      </c>
      <c r="D108" s="9">
        <v>141</v>
      </c>
      <c r="E108" s="8" t="s">
        <v>13</v>
      </c>
      <c r="F108" s="8"/>
      <c r="G108" s="8"/>
      <c r="H108" s="8" t="s">
        <v>403</v>
      </c>
      <c r="I108" s="8" t="s">
        <v>402</v>
      </c>
    </row>
    <row r="109" spans="1:9" x14ac:dyDescent="0.15">
      <c r="A109" s="7">
        <v>107</v>
      </c>
      <c r="B109" s="8" t="s">
        <v>12</v>
      </c>
      <c r="C109" s="8">
        <v>11</v>
      </c>
      <c r="D109" s="9">
        <v>141</v>
      </c>
      <c r="E109" s="8" t="s">
        <v>13</v>
      </c>
      <c r="F109" s="8"/>
      <c r="G109" s="8"/>
      <c r="H109" s="8" t="s">
        <v>414</v>
      </c>
      <c r="I109" s="8" t="s">
        <v>402</v>
      </c>
    </row>
    <row r="110" spans="1:9" x14ac:dyDescent="0.15">
      <c r="A110" s="7">
        <v>108</v>
      </c>
      <c r="B110" s="8" t="s">
        <v>12</v>
      </c>
      <c r="C110" s="8">
        <v>14</v>
      </c>
      <c r="D110" s="9">
        <v>141</v>
      </c>
      <c r="E110" s="8" t="s">
        <v>13</v>
      </c>
      <c r="F110" s="8"/>
      <c r="G110" s="8"/>
      <c r="H110" s="8" t="s">
        <v>423</v>
      </c>
      <c r="I110" s="8" t="s">
        <v>402</v>
      </c>
    </row>
    <row r="111" spans="1:9" x14ac:dyDescent="0.15">
      <c r="A111" s="7">
        <v>109</v>
      </c>
      <c r="B111" s="8" t="s">
        <v>12</v>
      </c>
      <c r="C111" s="8">
        <v>8</v>
      </c>
      <c r="D111" s="364">
        <v>143</v>
      </c>
      <c r="E111" s="8" t="s">
        <v>13</v>
      </c>
      <c r="F111" s="8"/>
      <c r="G111" s="8"/>
      <c r="H111" s="8" t="s">
        <v>433</v>
      </c>
      <c r="I111" s="8" t="s">
        <v>402</v>
      </c>
    </row>
    <row r="112" spans="1:9" x14ac:dyDescent="0.15">
      <c r="A112" s="7">
        <v>110</v>
      </c>
      <c r="B112" s="8" t="s">
        <v>12</v>
      </c>
      <c r="C112" s="8">
        <v>11</v>
      </c>
      <c r="D112" s="364">
        <v>143</v>
      </c>
      <c r="E112" s="8" t="s">
        <v>13</v>
      </c>
      <c r="F112" s="8"/>
      <c r="G112" s="8"/>
      <c r="H112" s="8" t="s">
        <v>434</v>
      </c>
      <c r="I112" s="8" t="s">
        <v>402</v>
      </c>
    </row>
    <row r="113" spans="1:9" x14ac:dyDescent="0.15">
      <c r="A113" s="7">
        <v>111</v>
      </c>
      <c r="B113" s="8" t="s">
        <v>12</v>
      </c>
      <c r="C113" s="8">
        <v>14</v>
      </c>
      <c r="D113" s="364">
        <v>143</v>
      </c>
      <c r="E113" s="8" t="s">
        <v>13</v>
      </c>
      <c r="F113" s="8"/>
      <c r="G113" s="8"/>
      <c r="H113" s="8" t="s">
        <v>435</v>
      </c>
      <c r="I113" s="8" t="s">
        <v>402</v>
      </c>
    </row>
    <row r="114" spans="1:9" x14ac:dyDescent="0.15">
      <c r="A114" s="7">
        <v>112</v>
      </c>
      <c r="B114" s="8" t="s">
        <v>12</v>
      </c>
      <c r="C114" s="8">
        <v>8</v>
      </c>
      <c r="D114" s="9">
        <v>145</v>
      </c>
      <c r="E114" s="8" t="s">
        <v>13</v>
      </c>
      <c r="F114" s="8"/>
      <c r="G114" s="8"/>
      <c r="H114" s="8" t="s">
        <v>405</v>
      </c>
      <c r="I114" s="8" t="s">
        <v>402</v>
      </c>
    </row>
    <row r="115" spans="1:9" x14ac:dyDescent="0.15">
      <c r="A115" s="7">
        <v>113</v>
      </c>
      <c r="B115" s="8" t="s">
        <v>12</v>
      </c>
      <c r="C115" s="8">
        <v>11</v>
      </c>
      <c r="D115" s="9">
        <v>145</v>
      </c>
      <c r="E115" s="8" t="s">
        <v>13</v>
      </c>
      <c r="F115" s="8"/>
      <c r="G115" s="8"/>
      <c r="H115" s="8" t="s">
        <v>404</v>
      </c>
      <c r="I115" s="8" t="s">
        <v>402</v>
      </c>
    </row>
    <row r="116" spans="1:9" x14ac:dyDescent="0.15">
      <c r="A116" s="7">
        <v>114</v>
      </c>
      <c r="B116" s="8" t="s">
        <v>12</v>
      </c>
      <c r="C116" s="8">
        <v>14</v>
      </c>
      <c r="D116" s="9">
        <v>145</v>
      </c>
      <c r="E116" s="8" t="s">
        <v>13</v>
      </c>
      <c r="F116" s="8"/>
      <c r="G116" s="8"/>
      <c r="H116" s="8" t="s">
        <v>424</v>
      </c>
      <c r="I116" s="8" t="s">
        <v>402</v>
      </c>
    </row>
    <row r="117" spans="1:9" x14ac:dyDescent="0.15">
      <c r="A117" s="7">
        <v>115</v>
      </c>
      <c r="B117" s="8" t="s">
        <v>12</v>
      </c>
      <c r="C117" s="8">
        <v>8</v>
      </c>
      <c r="D117" s="9">
        <v>146</v>
      </c>
      <c r="E117" s="8" t="s">
        <v>13</v>
      </c>
      <c r="F117" s="8"/>
      <c r="G117" s="8"/>
      <c r="H117" s="8" t="s">
        <v>406</v>
      </c>
      <c r="I117" s="8" t="s">
        <v>402</v>
      </c>
    </row>
    <row r="118" spans="1:9" x14ac:dyDescent="0.15">
      <c r="A118" s="7">
        <v>116</v>
      </c>
      <c r="B118" s="8" t="s">
        <v>12</v>
      </c>
      <c r="C118" s="8">
        <v>11</v>
      </c>
      <c r="D118" s="9">
        <v>146</v>
      </c>
      <c r="E118" s="8" t="s">
        <v>13</v>
      </c>
      <c r="F118" s="8"/>
      <c r="G118" s="8"/>
      <c r="H118" s="8" t="s">
        <v>415</v>
      </c>
      <c r="I118" s="8" t="s">
        <v>402</v>
      </c>
    </row>
    <row r="119" spans="1:9" x14ac:dyDescent="0.15">
      <c r="A119" s="7">
        <v>117</v>
      </c>
      <c r="B119" s="8" t="s">
        <v>12</v>
      </c>
      <c r="C119" s="8">
        <v>14</v>
      </c>
      <c r="D119" s="9">
        <v>146</v>
      </c>
      <c r="E119" s="8" t="s">
        <v>13</v>
      </c>
      <c r="F119" s="8"/>
      <c r="G119" s="8"/>
      <c r="H119" s="8" t="s">
        <v>425</v>
      </c>
      <c r="I119" s="8" t="s">
        <v>402</v>
      </c>
    </row>
    <row r="120" spans="1:9" x14ac:dyDescent="0.15">
      <c r="A120" s="7">
        <v>118</v>
      </c>
      <c r="B120" s="8" t="s">
        <v>12</v>
      </c>
      <c r="C120" s="8">
        <v>8</v>
      </c>
      <c r="D120" s="9">
        <v>148</v>
      </c>
      <c r="E120" s="8" t="s">
        <v>13</v>
      </c>
      <c r="F120" s="8"/>
      <c r="G120" s="8"/>
      <c r="H120" s="8" t="s">
        <v>407</v>
      </c>
      <c r="I120" s="8" t="s">
        <v>402</v>
      </c>
    </row>
    <row r="121" spans="1:9" x14ac:dyDescent="0.15">
      <c r="A121" s="7">
        <v>119</v>
      </c>
      <c r="B121" s="8" t="s">
        <v>12</v>
      </c>
      <c r="C121" s="8">
        <v>11</v>
      </c>
      <c r="D121" s="9">
        <v>148</v>
      </c>
      <c r="E121" s="8" t="s">
        <v>13</v>
      </c>
      <c r="F121" s="8"/>
      <c r="G121" s="8"/>
      <c r="H121" s="8" t="s">
        <v>416</v>
      </c>
      <c r="I121" s="8" t="s">
        <v>402</v>
      </c>
    </row>
    <row r="122" spans="1:9" x14ac:dyDescent="0.15">
      <c r="A122" s="7">
        <v>120</v>
      </c>
      <c r="B122" s="8" t="s">
        <v>12</v>
      </c>
      <c r="C122" s="8">
        <v>14</v>
      </c>
      <c r="D122" s="9">
        <v>148</v>
      </c>
      <c r="E122" s="8" t="s">
        <v>13</v>
      </c>
      <c r="F122" s="8"/>
      <c r="G122" s="8"/>
      <c r="H122" s="8" t="s">
        <v>426</v>
      </c>
      <c r="I122" s="8" t="s">
        <v>402</v>
      </c>
    </row>
    <row r="123" spans="1:9" x14ac:dyDescent="0.15">
      <c r="A123" s="7">
        <v>121</v>
      </c>
      <c r="B123" s="8" t="s">
        <v>12</v>
      </c>
      <c r="C123" s="8">
        <v>8</v>
      </c>
      <c r="D123" s="9">
        <v>150</v>
      </c>
      <c r="E123" s="8" t="s">
        <v>13</v>
      </c>
      <c r="F123" s="8"/>
      <c r="G123" s="8"/>
      <c r="H123" s="8" t="s">
        <v>408</v>
      </c>
      <c r="I123" s="8" t="s">
        <v>402</v>
      </c>
    </row>
    <row r="124" spans="1:9" x14ac:dyDescent="0.15">
      <c r="A124" s="7">
        <v>122</v>
      </c>
      <c r="B124" s="8" t="s">
        <v>12</v>
      </c>
      <c r="C124" s="8">
        <v>11</v>
      </c>
      <c r="D124" s="9">
        <v>150</v>
      </c>
      <c r="E124" s="8" t="s">
        <v>13</v>
      </c>
      <c r="F124" s="8"/>
      <c r="G124" s="8"/>
      <c r="H124" s="8" t="s">
        <v>417</v>
      </c>
      <c r="I124" s="8" t="s">
        <v>402</v>
      </c>
    </row>
    <row r="125" spans="1:9" x14ac:dyDescent="0.15">
      <c r="A125" s="7">
        <v>123</v>
      </c>
      <c r="B125" s="8" t="s">
        <v>12</v>
      </c>
      <c r="C125" s="8">
        <v>14</v>
      </c>
      <c r="D125" s="9">
        <v>150</v>
      </c>
      <c r="E125" s="8" t="s">
        <v>13</v>
      </c>
      <c r="F125" s="8"/>
      <c r="G125" s="8"/>
      <c r="H125" s="8" t="s">
        <v>427</v>
      </c>
      <c r="I125" s="8" t="s">
        <v>402</v>
      </c>
    </row>
    <row r="126" spans="1:9" x14ac:dyDescent="0.15">
      <c r="A126" s="7">
        <v>124</v>
      </c>
      <c r="B126" s="8" t="s">
        <v>12</v>
      </c>
      <c r="C126" s="8">
        <v>8</v>
      </c>
      <c r="D126" s="9">
        <v>152</v>
      </c>
      <c r="E126" s="8" t="s">
        <v>13</v>
      </c>
      <c r="F126" s="8"/>
      <c r="G126" s="8"/>
      <c r="H126" s="8" t="s">
        <v>409</v>
      </c>
      <c r="I126" s="8" t="s">
        <v>402</v>
      </c>
    </row>
    <row r="127" spans="1:9" x14ac:dyDescent="0.15">
      <c r="A127" s="7">
        <v>125</v>
      </c>
      <c r="B127" s="8" t="s">
        <v>12</v>
      </c>
      <c r="C127" s="8">
        <v>11</v>
      </c>
      <c r="D127" s="9">
        <v>152</v>
      </c>
      <c r="E127" s="8" t="s">
        <v>13</v>
      </c>
      <c r="F127" s="8"/>
      <c r="G127" s="8"/>
      <c r="H127" s="8" t="s">
        <v>418</v>
      </c>
      <c r="I127" s="8" t="s">
        <v>402</v>
      </c>
    </row>
    <row r="128" spans="1:9" x14ac:dyDescent="0.15">
      <c r="A128" s="7">
        <v>126</v>
      </c>
      <c r="B128" s="8" t="s">
        <v>12</v>
      </c>
      <c r="C128" s="8">
        <v>14</v>
      </c>
      <c r="D128" s="9">
        <v>152</v>
      </c>
      <c r="E128" s="8" t="s">
        <v>13</v>
      </c>
      <c r="F128" s="8"/>
      <c r="G128" s="8"/>
      <c r="H128" s="8" t="s">
        <v>428</v>
      </c>
      <c r="I128" s="8" t="s">
        <v>402</v>
      </c>
    </row>
    <row r="129" spans="1:9" x14ac:dyDescent="0.15">
      <c r="A129" s="7">
        <v>127</v>
      </c>
      <c r="B129" s="8" t="s">
        <v>12</v>
      </c>
      <c r="C129" s="8">
        <v>8</v>
      </c>
      <c r="D129" s="9">
        <v>153</v>
      </c>
      <c r="E129" s="8" t="s">
        <v>13</v>
      </c>
      <c r="F129" s="8"/>
      <c r="G129" s="8"/>
      <c r="H129" s="8" t="s">
        <v>410</v>
      </c>
      <c r="I129" s="8" t="s">
        <v>402</v>
      </c>
    </row>
    <row r="130" spans="1:9" x14ac:dyDescent="0.15">
      <c r="A130" s="7">
        <v>128</v>
      </c>
      <c r="B130" s="8" t="s">
        <v>12</v>
      </c>
      <c r="C130" s="8">
        <v>11</v>
      </c>
      <c r="D130" s="9">
        <v>153</v>
      </c>
      <c r="E130" s="8" t="s">
        <v>13</v>
      </c>
      <c r="F130" s="8"/>
      <c r="G130" s="8"/>
      <c r="H130" s="8" t="s">
        <v>419</v>
      </c>
      <c r="I130" s="8" t="s">
        <v>402</v>
      </c>
    </row>
    <row r="131" spans="1:9" x14ac:dyDescent="0.15">
      <c r="A131" s="7">
        <v>129</v>
      </c>
      <c r="B131" s="8" t="s">
        <v>12</v>
      </c>
      <c r="C131" s="8">
        <v>14</v>
      </c>
      <c r="D131" s="9">
        <v>153</v>
      </c>
      <c r="E131" s="8" t="s">
        <v>13</v>
      </c>
      <c r="F131" s="8"/>
      <c r="G131" s="8"/>
      <c r="H131" s="8" t="s">
        <v>429</v>
      </c>
      <c r="I131" s="8" t="s">
        <v>402</v>
      </c>
    </row>
    <row r="132" spans="1:9" x14ac:dyDescent="0.15">
      <c r="A132" s="7">
        <v>130</v>
      </c>
      <c r="B132" s="8" t="s">
        <v>12</v>
      </c>
      <c r="C132" s="8">
        <v>8</v>
      </c>
      <c r="D132" s="9">
        <v>154</v>
      </c>
      <c r="E132" s="8" t="s">
        <v>13</v>
      </c>
      <c r="F132" s="8"/>
      <c r="G132" s="8"/>
      <c r="H132" s="8" t="s">
        <v>411</v>
      </c>
      <c r="I132" s="8" t="s">
        <v>402</v>
      </c>
    </row>
    <row r="133" spans="1:9" x14ac:dyDescent="0.15">
      <c r="A133" s="7">
        <v>131</v>
      </c>
      <c r="B133" s="8" t="s">
        <v>12</v>
      </c>
      <c r="C133" s="8">
        <v>11</v>
      </c>
      <c r="D133" s="9">
        <v>154</v>
      </c>
      <c r="E133" s="8" t="s">
        <v>13</v>
      </c>
      <c r="F133" s="8"/>
      <c r="G133" s="8"/>
      <c r="H133" s="8" t="s">
        <v>420</v>
      </c>
      <c r="I133" s="8" t="s">
        <v>402</v>
      </c>
    </row>
    <row r="134" spans="1:9" x14ac:dyDescent="0.15">
      <c r="A134" s="7">
        <v>132</v>
      </c>
      <c r="B134" s="8" t="s">
        <v>12</v>
      </c>
      <c r="C134" s="8">
        <v>14</v>
      </c>
      <c r="D134" s="9">
        <v>154</v>
      </c>
      <c r="E134" s="8" t="s">
        <v>13</v>
      </c>
      <c r="F134" s="8"/>
      <c r="G134" s="8"/>
      <c r="H134" s="8" t="s">
        <v>430</v>
      </c>
      <c r="I134" s="8" t="s">
        <v>402</v>
      </c>
    </row>
    <row r="135" spans="1:9" x14ac:dyDescent="0.15">
      <c r="A135" s="7">
        <v>133</v>
      </c>
      <c r="B135" s="8" t="s">
        <v>12</v>
      </c>
      <c r="C135" s="8">
        <v>8</v>
      </c>
      <c r="D135" s="9">
        <v>155</v>
      </c>
      <c r="E135" s="8" t="s">
        <v>13</v>
      </c>
      <c r="F135" s="8"/>
      <c r="G135" s="8"/>
      <c r="H135" s="8" t="s">
        <v>412</v>
      </c>
      <c r="I135" s="8" t="s">
        <v>402</v>
      </c>
    </row>
    <row r="136" spans="1:9" x14ac:dyDescent="0.15">
      <c r="A136" s="7">
        <v>134</v>
      </c>
      <c r="B136" s="8" t="s">
        <v>12</v>
      </c>
      <c r="C136" s="8">
        <v>11</v>
      </c>
      <c r="D136" s="9">
        <v>155</v>
      </c>
      <c r="E136" s="8" t="s">
        <v>13</v>
      </c>
      <c r="F136" s="8"/>
      <c r="G136" s="8"/>
      <c r="H136" s="8" t="s">
        <v>421</v>
      </c>
      <c r="I136" s="8" t="s">
        <v>402</v>
      </c>
    </row>
    <row r="137" spans="1:9" x14ac:dyDescent="0.15">
      <c r="A137" s="7">
        <v>135</v>
      </c>
      <c r="B137" s="8" t="s">
        <v>12</v>
      </c>
      <c r="C137" s="8">
        <v>14</v>
      </c>
      <c r="D137" s="9">
        <v>155</v>
      </c>
      <c r="E137" s="8" t="s">
        <v>13</v>
      </c>
      <c r="F137" s="8"/>
      <c r="G137" s="8"/>
      <c r="H137" s="8" t="s">
        <v>431</v>
      </c>
      <c r="I137" s="8" t="s">
        <v>402</v>
      </c>
    </row>
    <row r="138" spans="1:9" x14ac:dyDescent="0.15">
      <c r="A138" s="7">
        <v>136</v>
      </c>
      <c r="B138" s="8" t="s">
        <v>12</v>
      </c>
      <c r="C138" s="8">
        <v>8</v>
      </c>
      <c r="D138" s="9">
        <v>158</v>
      </c>
      <c r="E138" s="8" t="s">
        <v>13</v>
      </c>
      <c r="F138" s="8"/>
      <c r="G138" s="8"/>
      <c r="H138" s="8" t="s">
        <v>413</v>
      </c>
      <c r="I138" s="8" t="s">
        <v>402</v>
      </c>
    </row>
    <row r="139" spans="1:9" x14ac:dyDescent="0.15">
      <c r="A139" s="7">
        <v>137</v>
      </c>
      <c r="B139" s="8" t="s">
        <v>12</v>
      </c>
      <c r="C139" s="8">
        <v>11</v>
      </c>
      <c r="D139" s="9">
        <v>158</v>
      </c>
      <c r="E139" s="8" t="s">
        <v>13</v>
      </c>
      <c r="F139" s="8"/>
      <c r="G139" s="8"/>
      <c r="H139" s="8" t="s">
        <v>422</v>
      </c>
      <c r="I139" s="8" t="s">
        <v>402</v>
      </c>
    </row>
    <row r="140" spans="1:9" x14ac:dyDescent="0.15">
      <c r="A140" s="7">
        <v>138</v>
      </c>
      <c r="B140" s="8" t="s">
        <v>12</v>
      </c>
      <c r="C140" s="8">
        <v>14</v>
      </c>
      <c r="D140" s="9">
        <v>158</v>
      </c>
      <c r="E140" s="8" t="s">
        <v>13</v>
      </c>
      <c r="F140" s="8"/>
      <c r="G140" s="8"/>
      <c r="H140" s="8" t="s">
        <v>432</v>
      </c>
      <c r="I140" s="8" t="s">
        <v>402</v>
      </c>
    </row>
    <row r="141" spans="1:9" x14ac:dyDescent="0.15">
      <c r="A141" s="7">
        <v>139</v>
      </c>
      <c r="B141" s="8" t="s">
        <v>12</v>
      </c>
      <c r="C141" s="8">
        <v>8</v>
      </c>
      <c r="D141" s="9">
        <v>140</v>
      </c>
      <c r="E141" s="8" t="s">
        <v>13</v>
      </c>
      <c r="F141" s="8"/>
      <c r="G141" s="8"/>
      <c r="H141" s="8" t="s">
        <v>438</v>
      </c>
      <c r="I141" s="8" t="s">
        <v>441</v>
      </c>
    </row>
    <row r="142" spans="1:9" x14ac:dyDescent="0.15">
      <c r="A142" s="7">
        <v>140</v>
      </c>
      <c r="B142" s="8" t="s">
        <v>12</v>
      </c>
      <c r="C142" s="8">
        <v>11</v>
      </c>
      <c r="D142" s="9">
        <v>140</v>
      </c>
      <c r="E142" s="8" t="s">
        <v>13</v>
      </c>
      <c r="F142" s="8"/>
      <c r="G142" s="8"/>
      <c r="H142" s="8" t="s">
        <v>439</v>
      </c>
      <c r="I142" s="8" t="s">
        <v>441</v>
      </c>
    </row>
    <row r="143" spans="1:9" x14ac:dyDescent="0.15">
      <c r="A143" s="7">
        <v>141</v>
      </c>
      <c r="B143" s="8" t="s">
        <v>12</v>
      </c>
      <c r="C143" s="8">
        <v>14</v>
      </c>
      <c r="D143" s="9">
        <v>140</v>
      </c>
      <c r="E143" s="8" t="s">
        <v>13</v>
      </c>
      <c r="F143" s="8"/>
      <c r="G143" s="8"/>
      <c r="H143" s="8" t="s">
        <v>440</v>
      </c>
      <c r="I143" s="8" t="s">
        <v>441</v>
      </c>
    </row>
    <row r="144" spans="1:9" x14ac:dyDescent="0.15">
      <c r="A144" s="7">
        <v>142</v>
      </c>
      <c r="B144" s="8" t="s">
        <v>12</v>
      </c>
      <c r="C144" s="8">
        <v>8</v>
      </c>
      <c r="D144" s="9">
        <v>157</v>
      </c>
      <c r="E144" s="8" t="s">
        <v>13</v>
      </c>
      <c r="F144" s="8"/>
      <c r="G144" s="8"/>
      <c r="H144" s="8" t="s">
        <v>442</v>
      </c>
      <c r="I144" s="8"/>
    </row>
    <row r="145" spans="1:9" x14ac:dyDescent="0.15">
      <c r="A145" s="7">
        <v>143</v>
      </c>
      <c r="B145" s="8" t="s">
        <v>12</v>
      </c>
      <c r="C145" s="8">
        <v>11</v>
      </c>
      <c r="D145" s="9">
        <v>157</v>
      </c>
      <c r="E145" s="8" t="s">
        <v>13</v>
      </c>
      <c r="F145" s="8"/>
      <c r="G145" s="8"/>
      <c r="H145" s="8" t="s">
        <v>443</v>
      </c>
      <c r="I145" s="8"/>
    </row>
    <row r="146" spans="1:9" x14ac:dyDescent="0.15">
      <c r="A146" s="7">
        <v>144</v>
      </c>
      <c r="B146" s="8" t="s">
        <v>12</v>
      </c>
      <c r="C146" s="8">
        <v>14</v>
      </c>
      <c r="D146" s="9">
        <v>157</v>
      </c>
      <c r="E146" s="8" t="s">
        <v>13</v>
      </c>
      <c r="F146" s="8"/>
      <c r="G146" s="8"/>
      <c r="H146" s="8" t="s">
        <v>444</v>
      </c>
      <c r="I146" s="8"/>
    </row>
    <row r="147" spans="1:9" x14ac:dyDescent="0.15">
      <c r="A147" s="7">
        <v>145</v>
      </c>
      <c r="B147" s="8" t="s">
        <v>12</v>
      </c>
      <c r="C147" s="8">
        <v>8</v>
      </c>
      <c r="D147" s="9">
        <v>139</v>
      </c>
      <c r="E147" s="8" t="s">
        <v>13</v>
      </c>
      <c r="F147" s="8"/>
      <c r="G147" s="8"/>
      <c r="H147" s="8" t="s">
        <v>445</v>
      </c>
      <c r="I147" s="8"/>
    </row>
    <row r="148" spans="1:9" x14ac:dyDescent="0.15">
      <c r="A148" s="7">
        <v>146</v>
      </c>
      <c r="B148" s="8" t="s">
        <v>12</v>
      </c>
      <c r="C148" s="8">
        <v>11</v>
      </c>
      <c r="D148" s="9">
        <v>139</v>
      </c>
      <c r="E148" s="8" t="s">
        <v>13</v>
      </c>
      <c r="F148" s="8"/>
      <c r="G148" s="8"/>
      <c r="H148" s="8" t="s">
        <v>446</v>
      </c>
      <c r="I148" s="8"/>
    </row>
    <row r="149" spans="1:9" x14ac:dyDescent="0.15">
      <c r="A149" s="7">
        <v>147</v>
      </c>
      <c r="B149" s="8" t="s">
        <v>12</v>
      </c>
      <c r="C149" s="8">
        <v>14</v>
      </c>
      <c r="D149" s="9">
        <v>139</v>
      </c>
      <c r="E149" s="8" t="s">
        <v>13</v>
      </c>
      <c r="F149" s="8"/>
      <c r="G149" s="8"/>
      <c r="H149" s="8" t="s">
        <v>447</v>
      </c>
      <c r="I149" s="8"/>
    </row>
    <row r="150" spans="1:9" x14ac:dyDescent="0.15">
      <c r="A150" s="7"/>
      <c r="B150" s="8"/>
      <c r="C150" s="8"/>
      <c r="D150" s="9"/>
      <c r="E150" s="8"/>
      <c r="F150" s="8"/>
      <c r="G150" s="8"/>
      <c r="H150" s="8"/>
      <c r="I150" s="8"/>
    </row>
    <row r="151" spans="1:9" x14ac:dyDescent="0.15">
      <c r="A151" s="7"/>
      <c r="B151" s="8"/>
      <c r="C151" s="8"/>
      <c r="D151" s="9"/>
      <c r="E151" s="8"/>
      <c r="F151" s="8"/>
      <c r="G151" s="8"/>
      <c r="H151" s="8"/>
      <c r="I151" s="8"/>
    </row>
    <row r="152" spans="1:9" x14ac:dyDescent="0.15">
      <c r="A152" s="7"/>
      <c r="B152" s="8"/>
      <c r="C152" s="8"/>
      <c r="D152" s="9"/>
      <c r="E152" s="8"/>
      <c r="F152" s="8"/>
      <c r="G152" s="8"/>
      <c r="H152" s="8"/>
      <c r="I152" s="8"/>
    </row>
    <row r="153" spans="1:9" x14ac:dyDescent="0.15">
      <c r="A153" s="7"/>
      <c r="B153" s="8"/>
      <c r="C153" s="8"/>
      <c r="D153" s="9"/>
      <c r="E153" s="8"/>
      <c r="F153" s="8"/>
      <c r="G153" s="8"/>
      <c r="H153" s="8"/>
      <c r="I153" s="8"/>
    </row>
  </sheetData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原価試算</vt:lpstr>
      <vt:lpstr>試算結果</vt:lpstr>
      <vt:lpstr>原料確認</vt:lpstr>
      <vt:lpstr>Setting</vt:lpstr>
    </vt:vector>
  </TitlesOfParts>
  <Company>キユーピー株式会社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９３００２</dc:creator>
  <cp:lastModifiedBy>河内　佳織</cp:lastModifiedBy>
  <cp:lastPrinted>2008-10-23T01:59:20Z</cp:lastPrinted>
  <dcterms:created xsi:type="dcterms:W3CDTF">1999-09-14T10:43:01Z</dcterms:created>
  <dcterms:modified xsi:type="dcterms:W3CDTF">2019-07-04T04:04:39Z</dcterms:modified>
</cp:coreProperties>
</file>