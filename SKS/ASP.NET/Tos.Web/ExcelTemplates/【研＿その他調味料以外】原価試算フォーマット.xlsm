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aveExternalLinkValues="0" codeName="ThisWorkbook"/>
  <bookViews>
    <workbookView xWindow="9765" yWindow="0" windowWidth="9735" windowHeight="10935" tabRatio="595"/>
  </bookViews>
  <sheets>
    <sheet name="原価試算" sheetId="2" r:id="rId1"/>
    <sheet name="試算結果" sheetId="36" r:id="rId2"/>
    <sheet name="原料確認" sheetId="25" r:id="rId3"/>
    <sheet name="仕切式" sheetId="13701" r:id="rId4"/>
    <sheet name="Setting" sheetId="43" state="hidden" r:id="rId5"/>
  </sheets>
  <externalReferences>
    <externalReference r:id="rId6"/>
    <externalReference r:id="rId7"/>
  </externalReferences>
  <definedNames>
    <definedName name="_Fill" localSheetId="3" hidden="1">[2]原価試算!#REF!</definedName>
    <definedName name="_Fill" hidden="1">原価試算!#REF!</definedName>
    <definedName name="_xlnm._FilterDatabase" localSheetId="0" hidden="1">原価試算!#REF!</definedName>
    <definedName name="_Key1" localSheetId="4" hidden="1">[1]原価試算!#REF!</definedName>
    <definedName name="_Key1" localSheetId="3" hidden="1">[2]原価試算!#REF!</definedName>
    <definedName name="_Key1" hidden="1">原価試算!#REF!</definedName>
    <definedName name="_Key2" localSheetId="3" hidden="1">[2]原価試算!#REF!</definedName>
    <definedName name="_Key2" hidden="1">原価試算!#REF!</definedName>
    <definedName name="_Order1" hidden="1">255</definedName>
    <definedName name="_Order2" hidden="1">255</definedName>
    <definedName name="_Sort" localSheetId="3" hidden="1">[2]原価試算!#REF!</definedName>
    <definedName name="_Sort" hidden="1">原価試算!#REF!</definedName>
    <definedName name="aaa" localSheetId="3">[2]原価試算!#REF!</definedName>
    <definedName name="aaa">原価試算!#REF!</definedName>
    <definedName name="AuthorName">#REF!</definedName>
    <definedName name="bottlM">#REF!</definedName>
    <definedName name="CODE" localSheetId="3">[2]原価試算!#REF!</definedName>
    <definedName name="CODE">原価試算!#REF!</definedName>
    <definedName name="CreateDate">#REF!</definedName>
    <definedName name="CurrentDate">#REF!</definedName>
    <definedName name="CurrentID">#REF!</definedName>
    <definedName name="CurrentPage">#REF!</definedName>
    <definedName name="Dept">#REF!</definedName>
    <definedName name="Factry">#REF!</definedName>
    <definedName name="FooterText">#REF!</definedName>
    <definedName name="HeaderText">#REF!</definedName>
    <definedName name="Lbtantou">#REF!</definedName>
    <definedName name="MDB">#REF!</definedName>
    <definedName name="PrdMethod">#REF!</definedName>
    <definedName name="_xlnm.Print_Area" localSheetId="0">原価試算!#REF!</definedName>
    <definedName name="Salles">#REF!</definedName>
    <definedName name="SLife">#REF!</definedName>
    <definedName name="Temp">#REF!</definedName>
    <definedName name="test" localSheetId="3">[2]原価試算!#REF!</definedName>
    <definedName name="test">原価試算!#REF!</definedName>
    <definedName name="Title">#REF!</definedName>
    <definedName name="youki">#REF!</definedName>
    <definedName name="あ">#REF!</definedName>
    <definedName name="い">#REF!</definedName>
    <definedName name="う">#REF!</definedName>
    <definedName name="材料表">#REF!</definedName>
    <definedName name="資材リスト">原価試算!$A$1:$W$3530</definedName>
    <definedName name="単価表">#REF!</definedName>
    <definedName name="単価表１">#REF!</definedName>
    <definedName name="単価歩留リスト">#REF!</definedName>
    <definedName name="単身ＢＯ" localSheetId="3">[2]原価試算!#REF!</definedName>
    <definedName name="単身ＢＯ">原価試算!#REF!</definedName>
    <definedName name="値範囲">#REF!</definedName>
    <definedName name="配合">#REF!</definedName>
    <definedName name="本文" localSheetId="3">[2]原価試算!#REF!</definedName>
    <definedName name="本文">原価試算!#REF!</definedName>
  </definedNames>
  <calcPr calcId="145621"/>
</workbook>
</file>

<file path=xl/calcChain.xml><?xml version="1.0" encoding="utf-8"?>
<calcChain xmlns="http://schemas.openxmlformats.org/spreadsheetml/2006/main">
  <c r="O18" i="2" l="1"/>
  <c r="O19" i="2"/>
  <c r="O20" i="2"/>
  <c r="O114" i="2" s="1"/>
  <c r="I20" i="13701" s="1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7" i="2"/>
  <c r="O16" i="2"/>
  <c r="I185" i="2"/>
  <c r="I184" i="2"/>
  <c r="I183" i="2"/>
  <c r="I182" i="2"/>
  <c r="I181" i="2"/>
  <c r="I180" i="2"/>
  <c r="I179" i="2"/>
  <c r="I178" i="2"/>
  <c r="I186" i="2"/>
  <c r="O167" i="2"/>
  <c r="I187" i="2"/>
  <c r="I188" i="2"/>
  <c r="I189" i="2"/>
  <c r="I190" i="2"/>
  <c r="I191" i="2"/>
  <c r="I192" i="2"/>
  <c r="I193" i="2"/>
  <c r="I195" i="2" s="1"/>
  <c r="I194" i="2"/>
  <c r="I152" i="2"/>
  <c r="O144" i="2"/>
  <c r="O143" i="2"/>
  <c r="O142" i="2"/>
  <c r="O141" i="2"/>
  <c r="O140" i="2"/>
  <c r="O139" i="2"/>
  <c r="O138" i="2"/>
  <c r="O137" i="2"/>
  <c r="O136" i="2"/>
  <c r="O135" i="2"/>
  <c r="O134" i="2"/>
  <c r="O133" i="2"/>
  <c r="O132" i="2"/>
  <c r="O131" i="2"/>
  <c r="O130" i="2"/>
  <c r="O129" i="2"/>
  <c r="O128" i="2"/>
  <c r="O127" i="2"/>
  <c r="O126" i="2"/>
  <c r="O125" i="2"/>
  <c r="O124" i="2"/>
  <c r="O123" i="2"/>
  <c r="O122" i="2"/>
  <c r="O121" i="2"/>
  <c r="O120" i="2"/>
  <c r="O119" i="2"/>
  <c r="O118" i="2"/>
  <c r="O117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L152" i="2"/>
  <c r="I167" i="2"/>
  <c r="I116" i="2"/>
  <c r="I16" i="2"/>
  <c r="I114" i="2" s="1"/>
  <c r="I18" i="13701" s="1"/>
  <c r="I164" i="2"/>
  <c r="L167" i="2"/>
  <c r="O152" i="2"/>
  <c r="O164" i="2"/>
  <c r="K20" i="13701" s="1"/>
  <c r="L164" i="2"/>
  <c r="O116" i="2"/>
  <c r="L116" i="2"/>
  <c r="L145" i="2" s="1"/>
  <c r="L16" i="2"/>
  <c r="N114" i="2"/>
  <c r="K114" i="2"/>
  <c r="H114" i="2"/>
  <c r="C11" i="2"/>
  <c r="D11" i="2"/>
  <c r="E11" i="2" s="1"/>
  <c r="O148" i="2"/>
  <c r="O147" i="2"/>
  <c r="L148" i="2"/>
  <c r="L147" i="2"/>
  <c r="I148" i="2"/>
  <c r="I147" i="2"/>
  <c r="N145" i="2"/>
  <c r="K145" i="2"/>
  <c r="H145" i="2"/>
  <c r="K1" i="2"/>
  <c r="I5" i="25"/>
  <c r="H5" i="25"/>
  <c r="G5" i="25"/>
  <c r="I6" i="25"/>
  <c r="H6" i="25"/>
  <c r="I4" i="25"/>
  <c r="H4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H116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G116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I16" i="25"/>
  <c r="H16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4" i="25"/>
  <c r="G6" i="25"/>
  <c r="D22" i="25"/>
  <c r="C22" i="25"/>
  <c r="D21" i="25"/>
  <c r="C21" i="25"/>
  <c r="D20" i="25"/>
  <c r="C20" i="25"/>
  <c r="D19" i="25"/>
  <c r="C19" i="25"/>
  <c r="D18" i="25"/>
  <c r="C18" i="25"/>
  <c r="E17" i="25"/>
  <c r="D17" i="25"/>
  <c r="C17" i="25"/>
  <c r="E16" i="25"/>
  <c r="D16" i="25"/>
  <c r="C16" i="25"/>
  <c r="D2" i="25"/>
  <c r="I1" i="25"/>
  <c r="H1" i="25" s="1"/>
  <c r="D144" i="25"/>
  <c r="C144" i="25"/>
  <c r="D143" i="25"/>
  <c r="C143" i="25"/>
  <c r="D142" i="25"/>
  <c r="C142" i="25"/>
  <c r="D141" i="25"/>
  <c r="C141" i="25"/>
  <c r="D140" i="25"/>
  <c r="C140" i="25"/>
  <c r="D139" i="25"/>
  <c r="C139" i="25"/>
  <c r="D138" i="25"/>
  <c r="C138" i="25"/>
  <c r="D137" i="25"/>
  <c r="C137" i="25"/>
  <c r="D136" i="25"/>
  <c r="C136" i="25"/>
  <c r="D135" i="25"/>
  <c r="C135" i="25"/>
  <c r="D134" i="25"/>
  <c r="C134" i="25"/>
  <c r="D133" i="25"/>
  <c r="C133" i="25"/>
  <c r="D132" i="25"/>
  <c r="C132" i="25"/>
  <c r="D131" i="25"/>
  <c r="C131" i="25"/>
  <c r="D130" i="25"/>
  <c r="C130" i="25"/>
  <c r="D129" i="25"/>
  <c r="C129" i="25"/>
  <c r="D128" i="25"/>
  <c r="C128" i="25"/>
  <c r="D127" i="25"/>
  <c r="C127" i="25"/>
  <c r="D126" i="25"/>
  <c r="C126" i="25"/>
  <c r="D125" i="25"/>
  <c r="C125" i="25"/>
  <c r="D124" i="25"/>
  <c r="C124" i="25"/>
  <c r="D123" i="25"/>
  <c r="C123" i="25"/>
  <c r="D122" i="25"/>
  <c r="C122" i="25"/>
  <c r="D121" i="25"/>
  <c r="C121" i="25"/>
  <c r="D120" i="25"/>
  <c r="C120" i="25"/>
  <c r="D119" i="25"/>
  <c r="C119" i="25"/>
  <c r="D118" i="25"/>
  <c r="C118" i="25"/>
  <c r="D117" i="25"/>
  <c r="C117" i="25"/>
  <c r="E116" i="25"/>
  <c r="D116" i="25"/>
  <c r="C116" i="25"/>
  <c r="D113" i="25"/>
  <c r="C113" i="25"/>
  <c r="D112" i="25"/>
  <c r="C112" i="25"/>
  <c r="D111" i="25"/>
  <c r="C111" i="25"/>
  <c r="D110" i="25"/>
  <c r="C110" i="25"/>
  <c r="D109" i="25"/>
  <c r="C109" i="25"/>
  <c r="D108" i="25"/>
  <c r="C108" i="25"/>
  <c r="D107" i="25"/>
  <c r="C107" i="25"/>
  <c r="D106" i="25"/>
  <c r="C106" i="25"/>
  <c r="D105" i="25"/>
  <c r="C105" i="25"/>
  <c r="D104" i="25"/>
  <c r="C104" i="25"/>
  <c r="D103" i="25"/>
  <c r="C103" i="25"/>
  <c r="D102" i="25"/>
  <c r="C102" i="25"/>
  <c r="D101" i="25"/>
  <c r="C101" i="25"/>
  <c r="D100" i="25"/>
  <c r="C100" i="25"/>
  <c r="D99" i="25"/>
  <c r="C99" i="25"/>
  <c r="D98" i="25"/>
  <c r="C98" i="25"/>
  <c r="D97" i="25"/>
  <c r="C97" i="25"/>
  <c r="D96" i="25"/>
  <c r="C96" i="25"/>
  <c r="D95" i="25"/>
  <c r="C95" i="25"/>
  <c r="D94" i="25"/>
  <c r="C94" i="25"/>
  <c r="D93" i="25"/>
  <c r="C93" i="25"/>
  <c r="D92" i="25"/>
  <c r="C92" i="25"/>
  <c r="D91" i="25"/>
  <c r="C91" i="25"/>
  <c r="D90" i="25"/>
  <c r="C90" i="25"/>
  <c r="D89" i="25"/>
  <c r="C89" i="25"/>
  <c r="D88" i="25"/>
  <c r="C88" i="25"/>
  <c r="D87" i="25"/>
  <c r="C87" i="25"/>
  <c r="D86" i="25"/>
  <c r="C86" i="25"/>
  <c r="D85" i="25"/>
  <c r="C85" i="25"/>
  <c r="D84" i="25"/>
  <c r="C84" i="25"/>
  <c r="D83" i="25"/>
  <c r="C83" i="25"/>
  <c r="D82" i="25"/>
  <c r="C82" i="25"/>
  <c r="D81" i="25"/>
  <c r="C81" i="25"/>
  <c r="D80" i="25"/>
  <c r="C80" i="25"/>
  <c r="D79" i="25"/>
  <c r="C79" i="25"/>
  <c r="D78" i="25"/>
  <c r="C78" i="25"/>
  <c r="D77" i="25"/>
  <c r="C77" i="25"/>
  <c r="D76" i="25"/>
  <c r="C76" i="25"/>
  <c r="D75" i="25"/>
  <c r="C75" i="25"/>
  <c r="D74" i="25"/>
  <c r="C74" i="25"/>
  <c r="D73" i="25"/>
  <c r="C73" i="25"/>
  <c r="D72" i="25"/>
  <c r="C72" i="25"/>
  <c r="D71" i="25"/>
  <c r="C71" i="25"/>
  <c r="D70" i="25"/>
  <c r="C70" i="25"/>
  <c r="D69" i="25"/>
  <c r="C69" i="25"/>
  <c r="D68" i="25"/>
  <c r="C68" i="25"/>
  <c r="D67" i="25"/>
  <c r="C67" i="25"/>
  <c r="D66" i="25"/>
  <c r="C66" i="25"/>
  <c r="D65" i="25"/>
  <c r="C65" i="25"/>
  <c r="D64" i="25"/>
  <c r="C64" i="25"/>
  <c r="D63" i="25"/>
  <c r="C63" i="25"/>
  <c r="D62" i="25"/>
  <c r="C62" i="25"/>
  <c r="D61" i="25"/>
  <c r="C61" i="25"/>
  <c r="D60" i="25"/>
  <c r="C60" i="25"/>
  <c r="D59" i="25"/>
  <c r="C59" i="25"/>
  <c r="D58" i="25"/>
  <c r="C58" i="25"/>
  <c r="D57" i="25"/>
  <c r="C57" i="25"/>
  <c r="D56" i="25"/>
  <c r="C56" i="25"/>
  <c r="D55" i="25"/>
  <c r="C55" i="25"/>
  <c r="D54" i="25"/>
  <c r="C54" i="25"/>
  <c r="D53" i="25"/>
  <c r="C53" i="25"/>
  <c r="D52" i="25"/>
  <c r="C52" i="25"/>
  <c r="D51" i="25"/>
  <c r="C51" i="25"/>
  <c r="D50" i="25"/>
  <c r="C50" i="25"/>
  <c r="D49" i="25"/>
  <c r="C49" i="25"/>
  <c r="D48" i="25"/>
  <c r="C48" i="25"/>
  <c r="D47" i="25"/>
  <c r="C47" i="25"/>
  <c r="D46" i="25"/>
  <c r="C46" i="25"/>
  <c r="D45" i="25"/>
  <c r="C45" i="25"/>
  <c r="D44" i="25"/>
  <c r="C44" i="25"/>
  <c r="D43" i="25"/>
  <c r="C43" i="25"/>
  <c r="D42" i="25"/>
  <c r="C42" i="25"/>
  <c r="D41" i="25"/>
  <c r="C41" i="25"/>
  <c r="D40" i="25"/>
  <c r="C40" i="25"/>
  <c r="D39" i="25"/>
  <c r="C39" i="25"/>
  <c r="D38" i="25"/>
  <c r="C38" i="25"/>
  <c r="D37" i="25"/>
  <c r="C37" i="25"/>
  <c r="D36" i="25"/>
  <c r="C36" i="25"/>
  <c r="D35" i="25"/>
  <c r="C35" i="25"/>
  <c r="D34" i="25"/>
  <c r="C34" i="25"/>
  <c r="D33" i="25"/>
  <c r="C33" i="25"/>
  <c r="D32" i="25"/>
  <c r="C32" i="25"/>
  <c r="D31" i="25"/>
  <c r="C31" i="25"/>
  <c r="D30" i="25"/>
  <c r="C30" i="25"/>
  <c r="D29" i="25"/>
  <c r="C29" i="25"/>
  <c r="D28" i="25"/>
  <c r="C28" i="25"/>
  <c r="D27" i="25"/>
  <c r="C27" i="25"/>
  <c r="D26" i="25"/>
  <c r="C26" i="25"/>
  <c r="D25" i="25"/>
  <c r="C25" i="25"/>
  <c r="D24" i="25"/>
  <c r="C24" i="25"/>
  <c r="D23" i="25"/>
  <c r="C23" i="25"/>
  <c r="J28" i="13701"/>
  <c r="J27" i="13701"/>
  <c r="K19" i="13701"/>
  <c r="K18" i="13701"/>
  <c r="H18" i="13701"/>
  <c r="H19" i="13701"/>
  <c r="H20" i="13701"/>
  <c r="H27" i="13701"/>
  <c r="H28" i="13701"/>
  <c r="H29" i="13701"/>
  <c r="J45" i="13701"/>
  <c r="J46" i="13701"/>
  <c r="J47" i="13701"/>
  <c r="K54" i="13701"/>
  <c r="K55" i="13701"/>
  <c r="K56" i="13701"/>
  <c r="K63" i="13701"/>
  <c r="K64" i="13701"/>
  <c r="K65" i="13701"/>
  <c r="K72" i="13701"/>
  <c r="K73" i="13701"/>
  <c r="K74" i="13701"/>
  <c r="J81" i="13701"/>
  <c r="J82" i="13701"/>
  <c r="J83" i="13701"/>
  <c r="J90" i="13701"/>
  <c r="J91" i="13701"/>
  <c r="J92" i="13701"/>
  <c r="K99" i="13701"/>
  <c r="K100" i="13701"/>
  <c r="K101" i="13701"/>
  <c r="L117" i="13701"/>
  <c r="L118" i="13701"/>
  <c r="L119" i="13701"/>
  <c r="J126" i="13701"/>
  <c r="J127" i="13701"/>
  <c r="J128" i="13701"/>
  <c r="E4" i="36"/>
  <c r="E5" i="36" s="1"/>
  <c r="D4" i="36"/>
  <c r="D8" i="36" s="1"/>
  <c r="C4" i="36"/>
  <c r="C5" i="36" s="1"/>
  <c r="C2" i="36"/>
  <c r="E8" i="36"/>
  <c r="E6" i="36"/>
  <c r="D9" i="36" l="1"/>
  <c r="D5" i="36"/>
  <c r="L114" i="2"/>
  <c r="I19" i="13701" s="1"/>
  <c r="I145" i="2"/>
  <c r="I149" i="2" s="1"/>
  <c r="I155" i="2" s="1"/>
  <c r="L149" i="2"/>
  <c r="L155" i="2" s="1"/>
  <c r="L162" i="2" s="1"/>
  <c r="D7" i="36"/>
  <c r="J29" i="13701"/>
  <c r="O145" i="2"/>
  <c r="O149" i="2" s="1"/>
  <c r="O155" i="2" s="1"/>
  <c r="O158" i="2" s="1"/>
  <c r="O156" i="2"/>
  <c r="O163" i="2" s="1"/>
  <c r="L156" i="2"/>
  <c r="L163" i="2" s="1"/>
  <c r="I156" i="2"/>
  <c r="I163" i="2" s="1"/>
  <c r="E10" i="36"/>
  <c r="E13" i="36"/>
  <c r="E12" i="36"/>
  <c r="E11" i="36"/>
  <c r="C10" i="36"/>
  <c r="C9" i="36"/>
  <c r="C13" i="36"/>
  <c r="C12" i="36"/>
  <c r="C7" i="36"/>
  <c r="C11" i="36"/>
  <c r="C6" i="36"/>
  <c r="E7" i="36"/>
  <c r="E9" i="36"/>
  <c r="D11" i="36"/>
  <c r="D10" i="36"/>
  <c r="D6" i="36"/>
  <c r="L158" i="2" l="1"/>
  <c r="O162" i="2"/>
  <c r="D12" i="36"/>
  <c r="D13" i="36"/>
  <c r="I127" i="13701"/>
  <c r="K127" i="13701" s="1"/>
  <c r="I91" i="13701"/>
  <c r="K91" i="13701" s="1"/>
  <c r="J55" i="13701"/>
  <c r="L55" i="13701" s="1"/>
  <c r="J100" i="13701"/>
  <c r="L100" i="13701" s="1"/>
  <c r="J64" i="13701"/>
  <c r="L64" i="13701" s="1"/>
  <c r="J73" i="13701"/>
  <c r="L73" i="13701" s="1"/>
  <c r="J19" i="13701"/>
  <c r="K118" i="13701"/>
  <c r="M118" i="13701" s="1"/>
  <c r="I82" i="13701"/>
  <c r="K82" i="13701" s="1"/>
  <c r="I46" i="13701"/>
  <c r="K46" i="13701" s="1"/>
  <c r="I28" i="13701"/>
  <c r="J101" i="13701"/>
  <c r="L101" i="13701" s="1"/>
  <c r="J65" i="13701"/>
  <c r="L65" i="13701" s="1"/>
  <c r="J74" i="13701"/>
  <c r="L74" i="13701" s="1"/>
  <c r="I29" i="13701"/>
  <c r="K119" i="13701"/>
  <c r="M119" i="13701" s="1"/>
  <c r="I83" i="13701"/>
  <c r="K83" i="13701" s="1"/>
  <c r="I47" i="13701"/>
  <c r="K47" i="13701" s="1"/>
  <c r="I128" i="13701"/>
  <c r="K128" i="13701" s="1"/>
  <c r="I92" i="13701"/>
  <c r="K92" i="13701" s="1"/>
  <c r="J56" i="13701"/>
  <c r="L56" i="13701" s="1"/>
  <c r="J20" i="13701"/>
  <c r="O165" i="2"/>
  <c r="O160" i="2"/>
  <c r="O168" i="2" s="1"/>
  <c r="I162" i="2"/>
  <c r="I158" i="2"/>
  <c r="K117" i="13701"/>
  <c r="M117" i="13701" s="1"/>
  <c r="I81" i="13701"/>
  <c r="K81" i="13701" s="1"/>
  <c r="I45" i="13701"/>
  <c r="K45" i="13701" s="1"/>
  <c r="I126" i="13701"/>
  <c r="K126" i="13701" s="1"/>
  <c r="I90" i="13701"/>
  <c r="K90" i="13701" s="1"/>
  <c r="J54" i="13701"/>
  <c r="L54" i="13701" s="1"/>
  <c r="I27" i="13701"/>
  <c r="J18" i="13701"/>
  <c r="J99" i="13701"/>
  <c r="L99" i="13701" s="1"/>
  <c r="J63" i="13701"/>
  <c r="L63" i="13701" s="1"/>
  <c r="J72" i="13701"/>
  <c r="L72" i="13701" s="1"/>
  <c r="L165" i="2"/>
  <c r="L160" i="2"/>
  <c r="L168" i="2" s="1"/>
  <c r="E110" i="13701" l="1"/>
  <c r="E38" i="13701"/>
  <c r="E109" i="13701"/>
  <c r="E37" i="13701"/>
  <c r="I160" i="2"/>
  <c r="I168" i="2" s="1"/>
  <c r="I165" i="2"/>
  <c r="E108" i="13701" l="1"/>
  <c r="E36" i="13701"/>
</calcChain>
</file>

<file path=xl/comments1.xml><?xml version="1.0" encoding="utf-8"?>
<comments xmlns="http://schemas.openxmlformats.org/spreadsheetml/2006/main">
  <authors>
    <author>★あるが★</author>
    <author>USER</author>
  </authors>
  <commentList>
    <comment ref="F1" authorId="0">
      <text>
        <r>
          <rPr>
            <sz val="12"/>
            <color indexed="81"/>
            <rFont val="ＭＳ Ｐゴシック"/>
            <family val="3"/>
            <charset val="128"/>
          </rPr>
          <t>業務用ＰＢ
試作依頼№</t>
        </r>
      </text>
    </comment>
    <comment ref="I1" authorId="1">
      <text>
        <r>
          <rPr>
            <b/>
            <sz val="11"/>
            <color indexed="12"/>
            <rFont val="ＭＳ Ｐゴシック"/>
            <family val="3"/>
            <charset val="128"/>
          </rPr>
          <t>ダブルクリックで今日の日付が入ります。</t>
        </r>
      </text>
    </comment>
    <comment ref="H152" authorId="0">
      <text>
        <r>
          <rPr>
            <sz val="11"/>
            <color indexed="81"/>
            <rFont val="ＭＳ Ｐゴシック"/>
            <family val="3"/>
            <charset val="128"/>
          </rPr>
          <t>ケースあたりの重量
(内容量×入数)</t>
        </r>
      </text>
    </comment>
    <comment ref="H153" authorId="0">
      <text>
        <r>
          <rPr>
            <sz val="11"/>
            <color indexed="81"/>
            <rFont val="ＭＳ Ｐゴシック"/>
            <family val="3"/>
            <charset val="128"/>
          </rPr>
          <t>充填歩留を加味した
ケースあたりの充填量</t>
        </r>
      </text>
    </comment>
  </commentList>
</comments>
</file>

<file path=xl/sharedStrings.xml><?xml version="1.0" encoding="utf-8"?>
<sst xmlns="http://schemas.openxmlformats.org/spreadsheetml/2006/main" count="968" uniqueCount="448">
  <si>
    <t>≪別充填用具材配合≫</t>
    <phoneticPr fontId="3"/>
  </si>
  <si>
    <t>製造方法</t>
  </si>
  <si>
    <t>充填方法</t>
  </si>
  <si>
    <t>【代入設定シート】</t>
  </si>
  <si>
    <t>No</t>
  </si>
  <si>
    <t>代入するシート</t>
  </si>
  <si>
    <t>代入する列</t>
  </si>
  <si>
    <t>代入する行</t>
  </si>
  <si>
    <t>代入方法</t>
  </si>
  <si>
    <t>リスト方向</t>
  </si>
  <si>
    <t>リスト行数</t>
  </si>
  <si>
    <t>リンク項目名</t>
  </si>
  <si>
    <t>備考</t>
  </si>
  <si>
    <t>原価試算</t>
  </si>
  <si>
    <t>代入</t>
  </si>
  <si>
    <t>品名</t>
  </si>
  <si>
    <t>依頼番号</t>
  </si>
  <si>
    <t>日付</t>
  </si>
  <si>
    <t>研究所</t>
  </si>
  <si>
    <t>営業</t>
  </si>
  <si>
    <t>サンプルNo1</t>
  </si>
  <si>
    <t>サンプルNo2</t>
  </si>
  <si>
    <t>サンプルNo3</t>
  </si>
  <si>
    <t>リスト</t>
  </si>
  <si>
    <t>縦</t>
  </si>
  <si>
    <t>工程1_新規原料</t>
  </si>
  <si>
    <t>工程1_品コード</t>
  </si>
  <si>
    <t>工程1_品名</t>
  </si>
  <si>
    <t>工程1_単価</t>
  </si>
  <si>
    <t>工程1_歩留</t>
  </si>
  <si>
    <t>工程1_配合1</t>
  </si>
  <si>
    <t>工程1_配合2</t>
  </si>
  <si>
    <t>工程1_配合3</t>
  </si>
  <si>
    <t>工程2_新規原料</t>
  </si>
  <si>
    <t>工程2_品コード</t>
  </si>
  <si>
    <t>工程2_品名</t>
  </si>
  <si>
    <t>工程2_単価</t>
  </si>
  <si>
    <t>工程2_歩留</t>
  </si>
  <si>
    <t>工程2_配合1</t>
  </si>
  <si>
    <t>工程2_配合2</t>
  </si>
  <si>
    <t>工程2_配合3</t>
  </si>
  <si>
    <t>殺菌方法</t>
  </si>
  <si>
    <t>取扱温度</t>
  </si>
  <si>
    <t>容器・包材</t>
  </si>
  <si>
    <t>荷姿</t>
  </si>
  <si>
    <t>内容量</t>
  </si>
  <si>
    <t>入り数</t>
  </si>
  <si>
    <t>賞味期間</t>
  </si>
  <si>
    <t>平均充填量1</t>
  </si>
  <si>
    <t>有効歩留1</t>
  </si>
  <si>
    <t>固定費1</t>
  </si>
  <si>
    <t>平均充填量2</t>
  </si>
  <si>
    <t>有効歩留2</t>
  </si>
  <si>
    <t>固定費2</t>
  </si>
  <si>
    <t>平均充填量3</t>
  </si>
  <si>
    <t>有効歩留3</t>
  </si>
  <si>
    <t>固定費3</t>
  </si>
  <si>
    <t>仕上がり合計重量1</t>
  </si>
  <si>
    <t>仕上がり合計重量2</t>
  </si>
  <si>
    <t>仕上がり合計重量3</t>
  </si>
  <si>
    <t>代入orリスト</t>
  </si>
  <si>
    <t>横</t>
  </si>
  <si>
    <t>資材_対象資材（工場記号）</t>
  </si>
  <si>
    <t>資材</t>
  </si>
  <si>
    <t>資材_資材コード</t>
  </si>
  <si>
    <t>資材_資材名</t>
  </si>
  <si>
    <t>資材_単価</t>
  </si>
  <si>
    <t>資材_歩留</t>
  </si>
  <si>
    <t>資材_使用量</t>
  </si>
  <si>
    <t>品コード</t>
    <phoneticPr fontId="3"/>
  </si>
  <si>
    <t>ソース合計（自動計算）</t>
    <phoneticPr fontId="3"/>
  </si>
  <si>
    <t>別充填具材合計（自動計算）</t>
    <phoneticPr fontId="3"/>
  </si>
  <si>
    <t>■在庫品</t>
  </si>
  <si>
    <t>■伊丹工場　液卵黄</t>
  </si>
  <si>
    <t>原価試算(生産）</t>
  </si>
  <si>
    <t>その他調味料以外</t>
  </si>
  <si>
    <t>IR＠</t>
  </si>
  <si>
    <t>品名:</t>
  </si>
  <si>
    <t>【担当者】</t>
  </si>
  <si>
    <t>=黄色のセルは,工場にて変更しないで下さい。(枠外も入力不可)</t>
  </si>
  <si>
    <t>(注)新規原料単価は、研究所記入単価を参考に試算願います。</t>
  </si>
  <si>
    <t>=生管・工場修正入力部分</t>
  </si>
  <si>
    <t>(注)工場新規の場合は、どこの工場の単価を入力したか、備考にご記入願います。</t>
  </si>
  <si>
    <t>(注)変更点は、研究所＝赤文字、工場＝青文字にて修正ください。</t>
  </si>
  <si>
    <t>(注)試算結果は必ず、工場から研究所・生産管理部の各担当者までご返信願います。</t>
  </si>
  <si>
    <t>(注)配合の項目は、全部で130行あります。必要に応じて、セルを再表示してご使用ください。</t>
  </si>
  <si>
    <t xml:space="preserve">     他ファイルと連動しておりますので、行・列の挿入・削除はしないでください。</t>
  </si>
  <si>
    <t>新規</t>
  </si>
  <si>
    <t>品コード</t>
  </si>
  <si>
    <t>原材料名</t>
  </si>
  <si>
    <t>単価</t>
  </si>
  <si>
    <t>歩留</t>
  </si>
  <si>
    <t>サンプル№</t>
  </si>
  <si>
    <t>　　　原料情報</t>
  </si>
  <si>
    <t>原料</t>
  </si>
  <si>
    <t>（統一コード）</t>
  </si>
  <si>
    <t>(円)</t>
  </si>
  <si>
    <t>配合(㎏)</t>
  </si>
  <si>
    <t>小計(円)</t>
  </si>
  <si>
    <t>(新規原料はわかれば規格書コードを入力)</t>
  </si>
  <si>
    <t>≪ソース用配合≫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</si>
  <si>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</si>
  <si>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</si>
  <si>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</si>
  <si>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</si>
  <si>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</si>
  <si>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</si>
  <si>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</si>
  <si>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</si>
  <si>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</si>
  <si>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</si>
  <si>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</si>
  <si>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</si>
  <si>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</si>
  <si>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</si>
  <si>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</si>
  <si>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</si>
  <si>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</si>
  <si>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</si>
  <si>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</si>
  <si>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</si>
  <si>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</si>
  <si>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</si>
  <si>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</si>
  <si>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</si>
  <si>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</si>
  <si>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</si>
  <si>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</si>
  <si>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</si>
  <si>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</si>
  <si>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</si>
  <si>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</si>
  <si>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</si>
  <si>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</si>
  <si>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</si>
  <si>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</si>
  <si>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</si>
  <si>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</si>
  <si>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</si>
  <si>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</si>
  <si>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</si>
  <si>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</si>
  <si>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</si>
  <si>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</si>
  <si>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</si>
  <si>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</si>
  <si>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</si>
  <si>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</si>
  <si>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</si>
  <si>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</si>
  <si>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</si>
  <si>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</si>
  <si>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</si>
  <si>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</si>
  <si>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</si>
  <si>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</si>
  <si>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</si>
  <si>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</si>
  <si>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</si>
  <si>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</si>
  <si>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</si>
  <si>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</si>
  <si>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</si>
  <si>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</si>
  <si>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</si>
  <si>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</si>
  <si>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</si>
  <si>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</si>
  <si>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</si>
  <si>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</si>
  <si>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</si>
  <si>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</si>
  <si>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</si>
  <si>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</si>
  <si>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</si>
  <si>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</si>
  <si>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</si>
  <si>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</si>
  <si>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</si>
  <si>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</si>
  <si>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</si>
  <si>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</si>
  <si>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</si>
  <si>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</si>
  <si>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</si>
  <si>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</si>
  <si>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</si>
  <si>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</si>
  <si>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</si>
  <si>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</si>
  <si>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</si>
  <si>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</si>
  <si>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</si>
  <si>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</si>
  <si>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</si>
  <si>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</si>
  <si>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</si>
  <si>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</si>
  <si>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</si>
  <si>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ソース合計（自動計算）</t>
  </si>
  <si>
    <t>≪別充填用具材配合≫</t>
  </si>
  <si>
    <t/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</si>
  <si>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</si>
  <si>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</si>
  <si>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</si>
  <si>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</si>
  <si>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</si>
  <si>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</si>
  <si>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</si>
  <si>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</si>
  <si>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</si>
  <si>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</si>
  <si>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</si>
  <si>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</si>
  <si>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</si>
  <si>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</si>
  <si>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</si>
  <si>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</si>
  <si>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</si>
  <si>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</si>
  <si>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</si>
  <si>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</si>
  <si>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</si>
  <si>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</si>
  <si>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</si>
  <si>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</si>
  <si>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</si>
  <si>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</si>
  <si>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</si>
  <si>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</si>
  <si>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</si>
  <si>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別充填具材合計（自動計算）</t>
  </si>
  <si>
    <t>≪配合比率≫</t>
  </si>
  <si>
    <t>ソース仕上がり</t>
  </si>
  <si>
    <t>具材仕上がり</t>
  </si>
  <si>
    <t>総仕上がり(kg)　（自動計算）</t>
  </si>
  <si>
    <t>仙川工場</t>
  </si>
  <si>
    <t>挙母工場</t>
  </si>
  <si>
    <t>伊丹工場</t>
  </si>
  <si>
    <t>鳥栖工場</t>
  </si>
  <si>
    <t>五霞工場</t>
  </si>
  <si>
    <t>中河原工場</t>
  </si>
  <si>
    <t>泉佐野工場</t>
  </si>
  <si>
    <t>階上工場</t>
  </si>
  <si>
    <t>富士吉田工場</t>
  </si>
  <si>
    <t>工場未定/その他</t>
  </si>
  <si>
    <t>レベル量(g)</t>
  </si>
  <si>
    <t>平均充填量(g)</t>
  </si>
  <si>
    <t>有効歩留(％)</t>
  </si>
  <si>
    <t>原料費/ケース</t>
  </si>
  <si>
    <t>材料費/ケース</t>
  </si>
  <si>
    <t>固定費/ケース</t>
  </si>
  <si>
    <t>原価計/ケース</t>
  </si>
  <si>
    <t>≪参考：個あたり≫</t>
  </si>
  <si>
    <t>原価計/個</t>
  </si>
  <si>
    <t>原料費/ＫＧ</t>
  </si>
  <si>
    <t>材料費/ＫＧ</t>
  </si>
  <si>
    <t>固定費/ＫＧ</t>
  </si>
  <si>
    <t>原価計/ＫＧ</t>
  </si>
  <si>
    <t>粗利(％)</t>
  </si>
  <si>
    <t>対象工場</t>
  </si>
  <si>
    <t>資材コード</t>
  </si>
  <si>
    <t>資材名</t>
  </si>
  <si>
    <t>使用量/ｹｰｽ</t>
  </si>
  <si>
    <t>資材費/ｹｰｽ</t>
  </si>
  <si>
    <t>材料費計/ケース</t>
  </si>
  <si>
    <t>原料確認用</t>
    <phoneticPr fontId="3"/>
  </si>
  <si>
    <t>加工食品・サラダ惣菜・ベビーヘルス・タマゴ用</t>
    <phoneticPr fontId="3"/>
  </si>
  <si>
    <t>品名:</t>
    <phoneticPr fontId="3"/>
  </si>
  <si>
    <t>(注)テキストファイルにて更新した場合、原料情報(I,J列)は更新されませんのでご了承ください。</t>
    <phoneticPr fontId="3"/>
  </si>
  <si>
    <t>※原料の使用見込みを確認する際にご使用ください。</t>
    <phoneticPr fontId="3"/>
  </si>
  <si>
    <t>新規</t>
    <phoneticPr fontId="3"/>
  </si>
  <si>
    <t>品コード</t>
    <phoneticPr fontId="3"/>
  </si>
  <si>
    <t>原材料名</t>
    <phoneticPr fontId="3"/>
  </si>
  <si>
    <t>原料</t>
    <phoneticPr fontId="3"/>
  </si>
  <si>
    <t>（統一コード）</t>
    <phoneticPr fontId="3"/>
  </si>
  <si>
    <t>≪ソース用配合≫</t>
    <phoneticPr fontId="3"/>
  </si>
  <si>
    <t>　レベル１</t>
    <phoneticPr fontId="3"/>
  </si>
  <si>
    <t>営業</t>
    <rPh sb="0" eb="2">
      <t>エイギョウ</t>
    </rPh>
    <phoneticPr fontId="3"/>
  </si>
  <si>
    <t>生産管理部</t>
    <rPh sb="0" eb="2">
      <t>セイサン</t>
    </rPh>
    <rPh sb="2" eb="4">
      <t>カンリ</t>
    </rPh>
    <rPh sb="4" eb="5">
      <t>ブ</t>
    </rPh>
    <phoneticPr fontId="3"/>
  </si>
  <si>
    <t>工場</t>
    <rPh sb="0" eb="2">
      <t>コウジョウ</t>
    </rPh>
    <phoneticPr fontId="3"/>
  </si>
  <si>
    <t>製品情報</t>
    <phoneticPr fontId="3"/>
  </si>
  <si>
    <t>(工程略図、特徴、拘り、注意点など)</t>
    <rPh sb="1" eb="3">
      <t>コウテイ</t>
    </rPh>
    <rPh sb="3" eb="5">
      <t>リャクズ</t>
    </rPh>
    <rPh sb="6" eb="8">
      <t>トクチョウ</t>
    </rPh>
    <rPh sb="9" eb="10">
      <t>コダワ</t>
    </rPh>
    <rPh sb="12" eb="15">
      <t>チュウイテン</t>
    </rPh>
    <phoneticPr fontId="3"/>
  </si>
  <si>
    <t>原価試算</t>
    <rPh sb="0" eb="2">
      <t>ゲンカ</t>
    </rPh>
    <rPh sb="2" eb="4">
      <t>シサン</t>
    </rPh>
    <phoneticPr fontId="3"/>
  </si>
  <si>
    <t>メモ</t>
    <phoneticPr fontId="3"/>
  </si>
  <si>
    <t>原価試算メモ</t>
    <rPh sb="0" eb="2">
      <t>ゲンカ</t>
    </rPh>
    <rPh sb="2" eb="4">
      <t>シサン</t>
    </rPh>
    <phoneticPr fontId="3"/>
  </si>
  <si>
    <t>(営業用)</t>
    <rPh sb="1" eb="4">
      <t>エイギョウヨウ</t>
    </rPh>
    <phoneticPr fontId="3"/>
  </si>
  <si>
    <t>≪基本情報≫</t>
    <rPh sb="1" eb="3">
      <t>キホン</t>
    </rPh>
    <rPh sb="3" eb="5">
      <t>ジョウホウ</t>
    </rPh>
    <phoneticPr fontId="3"/>
  </si>
  <si>
    <t>製造工場</t>
    <rPh sb="0" eb="2">
      <t>セイゾウ</t>
    </rPh>
    <rPh sb="2" eb="4">
      <t>コウジョウ</t>
    </rPh>
    <phoneticPr fontId="3"/>
  </si>
  <si>
    <t>殺菌方法</t>
    <rPh sb="0" eb="2">
      <t>サッキン</t>
    </rPh>
    <rPh sb="2" eb="4">
      <t>ホウホウ</t>
    </rPh>
    <phoneticPr fontId="3"/>
  </si>
  <si>
    <t>取扱温度</t>
    <rPh sb="0" eb="2">
      <t>トリアツカ</t>
    </rPh>
    <rPh sb="2" eb="4">
      <t>オンド</t>
    </rPh>
    <phoneticPr fontId="3"/>
  </si>
  <si>
    <t>容器・包材</t>
    <rPh sb="0" eb="2">
      <t>ヨウキ</t>
    </rPh>
    <rPh sb="3" eb="5">
      <t>ホウザイ</t>
    </rPh>
    <phoneticPr fontId="3"/>
  </si>
  <si>
    <t>荷姿</t>
    <rPh sb="0" eb="1">
      <t>ニ</t>
    </rPh>
    <rPh sb="1" eb="2">
      <t>スガタ</t>
    </rPh>
    <phoneticPr fontId="3"/>
  </si>
  <si>
    <t>内容量（ｍｌ/ｇ）</t>
    <rPh sb="0" eb="1">
      <t>ナイ</t>
    </rPh>
    <rPh sb="1" eb="3">
      <t>ヨウリョウ</t>
    </rPh>
    <phoneticPr fontId="3"/>
  </si>
  <si>
    <t>入り数</t>
    <rPh sb="0" eb="1">
      <t>イ</t>
    </rPh>
    <rPh sb="2" eb="3">
      <t>スウ</t>
    </rPh>
    <phoneticPr fontId="3"/>
  </si>
  <si>
    <t>賞味期間</t>
    <rPh sb="0" eb="2">
      <t>ショウミ</t>
    </rPh>
    <rPh sb="2" eb="4">
      <t>キカン</t>
    </rPh>
    <phoneticPr fontId="3"/>
  </si>
  <si>
    <t>製造ロット</t>
    <rPh sb="0" eb="2">
      <t>セイゾウ</t>
    </rPh>
    <phoneticPr fontId="3"/>
  </si>
  <si>
    <t>想定物量</t>
    <rPh sb="0" eb="2">
      <t>ソウテイ</t>
    </rPh>
    <rPh sb="2" eb="4">
      <t>ブツリョウ</t>
    </rPh>
    <phoneticPr fontId="3"/>
  </si>
  <si>
    <t>発売時期</t>
    <rPh sb="0" eb="2">
      <t>ハツバイ</t>
    </rPh>
    <rPh sb="2" eb="4">
      <t>ジキ</t>
    </rPh>
    <phoneticPr fontId="3"/>
  </si>
  <si>
    <t>販売期間</t>
    <rPh sb="0" eb="2">
      <t>ハンバイ</t>
    </rPh>
    <rPh sb="2" eb="4">
      <t>キカン</t>
    </rPh>
    <phoneticPr fontId="3"/>
  </si>
  <si>
    <t>希望原価</t>
    <rPh sb="0" eb="2">
      <t>キボウ</t>
    </rPh>
    <rPh sb="2" eb="4">
      <t>ゲンカ</t>
    </rPh>
    <phoneticPr fontId="3"/>
  </si>
  <si>
    <t>希望特約</t>
    <rPh sb="0" eb="2">
      <t>キボウ</t>
    </rPh>
    <rPh sb="2" eb="4">
      <t>トクヤク</t>
    </rPh>
    <phoneticPr fontId="3"/>
  </si>
  <si>
    <t>希望特約</t>
  </si>
  <si>
    <t>試作名           ：</t>
    <rPh sb="0" eb="2">
      <t>シサク</t>
    </rPh>
    <rPh sb="2" eb="3">
      <t>メイ</t>
    </rPh>
    <phoneticPr fontId="3"/>
  </si>
  <si>
    <t>サンプル№</t>
    <phoneticPr fontId="3"/>
  </si>
  <si>
    <t xml:space="preserve">原価計　円/個 </t>
    <phoneticPr fontId="3"/>
  </si>
  <si>
    <t>製造工場　　　　　</t>
    <phoneticPr fontId="3"/>
  </si>
  <si>
    <t>荷姿　 　 　　　　　</t>
    <phoneticPr fontId="3"/>
  </si>
  <si>
    <t>資材仕様</t>
    <phoneticPr fontId="3"/>
  </si>
  <si>
    <t>取扱温度　　　　　</t>
    <phoneticPr fontId="3"/>
  </si>
  <si>
    <t>製造ロット　</t>
    <rPh sb="0" eb="2">
      <t>セイゾウ</t>
    </rPh>
    <phoneticPr fontId="3"/>
  </si>
  <si>
    <t>※今期末立上がり商品まで、有効な価格です。</t>
    <rPh sb="1" eb="3">
      <t>コンキ</t>
    </rPh>
    <rPh sb="3" eb="4">
      <t>スエ</t>
    </rPh>
    <rPh sb="4" eb="6">
      <t>タチアゲ</t>
    </rPh>
    <rPh sb="8" eb="10">
      <t>ショウヒン</t>
    </rPh>
    <rPh sb="13" eb="15">
      <t>ユウコウ</t>
    </rPh>
    <rPh sb="16" eb="18">
      <t>カカク</t>
    </rPh>
    <phoneticPr fontId="3"/>
  </si>
  <si>
    <t>※新年度立ち上げの場合は、価格変更が発生する可能性がありますので、ご注意ください。</t>
    <rPh sb="1" eb="4">
      <t>シンネンド</t>
    </rPh>
    <rPh sb="4" eb="5">
      <t>タ</t>
    </rPh>
    <rPh sb="6" eb="7">
      <t>ア</t>
    </rPh>
    <rPh sb="9" eb="11">
      <t>バアイ</t>
    </rPh>
    <rPh sb="13" eb="15">
      <t>カカク</t>
    </rPh>
    <rPh sb="15" eb="17">
      <t>ヘンコウ</t>
    </rPh>
    <rPh sb="18" eb="20">
      <t>ハッセイ</t>
    </rPh>
    <rPh sb="22" eb="25">
      <t>カノウセイ</t>
    </rPh>
    <rPh sb="34" eb="36">
      <t>チュウイ</t>
    </rPh>
    <phoneticPr fontId="3"/>
  </si>
  <si>
    <t>※想定物量・発売時期・発売期間に変更がある場合は、ご連絡願います。</t>
    <rPh sb="1" eb="3">
      <t>ソウテイ</t>
    </rPh>
    <rPh sb="3" eb="5">
      <t>ブツリョウ</t>
    </rPh>
    <rPh sb="6" eb="8">
      <t>ハツバイ</t>
    </rPh>
    <rPh sb="8" eb="10">
      <t>ジキ</t>
    </rPh>
    <rPh sb="11" eb="13">
      <t>ハツバイ</t>
    </rPh>
    <rPh sb="13" eb="15">
      <t>キカン</t>
    </rPh>
    <rPh sb="16" eb="18">
      <t>ヘンコウ</t>
    </rPh>
    <rPh sb="21" eb="23">
      <t>バアイ</t>
    </rPh>
    <rPh sb="26" eb="28">
      <t>レンラク</t>
    </rPh>
    <rPh sb="28" eb="29">
      <t>ネガ</t>
    </rPh>
    <phoneticPr fontId="3"/>
  </si>
  <si>
    <t>≪計算項目≫</t>
    <rPh sb="1" eb="3">
      <t>ケイサン</t>
    </rPh>
    <rPh sb="3" eb="5">
      <t>コウモク</t>
    </rPh>
    <phoneticPr fontId="3"/>
  </si>
  <si>
    <t>サンプル1</t>
    <phoneticPr fontId="3"/>
  </si>
  <si>
    <t>サンプル2</t>
    <phoneticPr fontId="3"/>
  </si>
  <si>
    <t>サンプル3</t>
    <phoneticPr fontId="3"/>
  </si>
  <si>
    <t>歩留</t>
    <phoneticPr fontId="3"/>
  </si>
  <si>
    <t>配合</t>
    <phoneticPr fontId="3"/>
  </si>
  <si>
    <t>小計</t>
    <phoneticPr fontId="3"/>
  </si>
  <si>
    <t>■茹卵</t>
    <phoneticPr fontId="3"/>
  </si>
  <si>
    <t>サンプルNo.</t>
    <phoneticPr fontId="3"/>
  </si>
  <si>
    <t>仕切式</t>
    <phoneticPr fontId="3"/>
  </si>
  <si>
    <t>その他原料</t>
    <phoneticPr fontId="3"/>
  </si>
  <si>
    <t>資材</t>
    <phoneticPr fontId="3"/>
  </si>
  <si>
    <t>経費</t>
    <phoneticPr fontId="3"/>
  </si>
  <si>
    <t>■3分たまご</t>
    <phoneticPr fontId="3"/>
  </si>
  <si>
    <t>試算結果</t>
    <phoneticPr fontId="3"/>
  </si>
  <si>
    <t>■挙母工場　液全卵（殺菌）</t>
    <phoneticPr fontId="3"/>
  </si>
  <si>
    <t>原価式</t>
    <phoneticPr fontId="3"/>
  </si>
  <si>
    <t>α</t>
    <phoneticPr fontId="3"/>
  </si>
  <si>
    <t>取得卵価</t>
    <phoneticPr fontId="3"/>
  </si>
  <si>
    <t>QPE仕切</t>
    <phoneticPr fontId="3"/>
  </si>
  <si>
    <t>（E-27.22）×100/84+2.7+</t>
    <phoneticPr fontId="3"/>
  </si>
  <si>
    <t>■挙母工場　加工液卵NO.1</t>
    <phoneticPr fontId="3"/>
  </si>
  <si>
    <t>（E-27.22）×100/84×99/100+3.12+5.2+</t>
    <phoneticPr fontId="3"/>
  </si>
  <si>
    <t>■挙母工場　加工液卵NO.4</t>
    <phoneticPr fontId="3"/>
  </si>
  <si>
    <t>（E-27.22）×100/84×65/100+(96×35/100）+2+</t>
    <phoneticPr fontId="3"/>
  </si>
  <si>
    <t>■挙母工場　セパレート液卵（殺）4:6</t>
    <phoneticPr fontId="3"/>
  </si>
  <si>
    <t>((E-17.60）×100/31.5-125)×0.4+(99.9×0.6)+2+</t>
    <phoneticPr fontId="3"/>
  </si>
  <si>
    <t>■挙母工場　液卵黄</t>
    <phoneticPr fontId="3"/>
  </si>
  <si>
    <t>(E-17.60)×100/31.5-125+</t>
    <phoneticPr fontId="3"/>
  </si>
  <si>
    <t>■伊丹工場　液全卵（殺菌）</t>
    <phoneticPr fontId="3"/>
  </si>
  <si>
    <t>（E-27.84）×100/84+2.7+</t>
    <phoneticPr fontId="3"/>
  </si>
  <si>
    <t>■伊丹工場　加工液卵NO.1</t>
    <phoneticPr fontId="3"/>
  </si>
  <si>
    <t>（E-27.84）×100/84×99/100+3.12+5.2+</t>
    <phoneticPr fontId="3"/>
  </si>
  <si>
    <t>■伊丹工場　加工液卵NO.8</t>
    <phoneticPr fontId="3"/>
  </si>
  <si>
    <t>■伊丹工場　セパレート液卵（殺）48:52</t>
    <phoneticPr fontId="3"/>
  </si>
  <si>
    <t>((E-17.60）×100/31.5-125)×0.48+(99.9×0.52)+2+</t>
    <phoneticPr fontId="3"/>
  </si>
  <si>
    <t>≪資材情報≫</t>
    <rPh sb="1" eb="3">
      <t>シザイ</t>
    </rPh>
    <rPh sb="3" eb="5">
      <t>ジョウホウ</t>
    </rPh>
    <phoneticPr fontId="3"/>
  </si>
  <si>
    <t>履歴テーブルよりデータを取得する事が必要。</t>
    <rPh sb="0" eb="2">
      <t>リレキ</t>
    </rPh>
    <rPh sb="12" eb="14">
      <t>シュトク</t>
    </rPh>
    <rPh sb="16" eb="17">
      <t>コト</t>
    </rPh>
    <rPh sb="18" eb="20">
      <t>ヒツヨウ</t>
    </rPh>
    <phoneticPr fontId="3"/>
  </si>
  <si>
    <t>試作テーブル.サンプルNO（名称</t>
    <phoneticPr fontId="3"/>
  </si>
  <si>
    <t>製品_サンプルNo1</t>
    <rPh sb="0" eb="2">
      <t>セイヒン</t>
    </rPh>
    <phoneticPr fontId="3"/>
  </si>
  <si>
    <t>製品_工程版No1</t>
    <rPh sb="3" eb="5">
      <t>コウテイ</t>
    </rPh>
    <rPh sb="5" eb="6">
      <t>ハン</t>
    </rPh>
    <phoneticPr fontId="3"/>
  </si>
  <si>
    <t>製品_注意事項1</t>
    <rPh sb="0" eb="2">
      <t>セイヒン</t>
    </rPh>
    <rPh sb="3" eb="5">
      <t>チュウイ</t>
    </rPh>
    <rPh sb="5" eb="7">
      <t>ジコウ</t>
    </rPh>
    <phoneticPr fontId="3"/>
  </si>
  <si>
    <t>製品_サンプルNo2</t>
    <rPh sb="0" eb="2">
      <t>セイヒン</t>
    </rPh>
    <phoneticPr fontId="3"/>
  </si>
  <si>
    <t>製品_工程版No2</t>
    <rPh sb="3" eb="5">
      <t>コウテイ</t>
    </rPh>
    <rPh sb="5" eb="6">
      <t>ハン</t>
    </rPh>
    <phoneticPr fontId="3"/>
  </si>
  <si>
    <t>製品_注意事項2</t>
    <rPh sb="0" eb="2">
      <t>セイヒン</t>
    </rPh>
    <rPh sb="3" eb="5">
      <t>チュウイ</t>
    </rPh>
    <rPh sb="5" eb="7">
      <t>ジコウ</t>
    </rPh>
    <phoneticPr fontId="3"/>
  </si>
  <si>
    <t>製品_サンプルNo3</t>
    <rPh sb="0" eb="2">
      <t>セイヒン</t>
    </rPh>
    <phoneticPr fontId="3"/>
  </si>
  <si>
    <t>製品_工程版No3</t>
    <rPh sb="3" eb="5">
      <t>コウテイ</t>
    </rPh>
    <rPh sb="5" eb="6">
      <t>ハン</t>
    </rPh>
    <phoneticPr fontId="3"/>
  </si>
  <si>
    <t>製品_注意事項3</t>
    <rPh sb="0" eb="2">
      <t>セイヒン</t>
    </rPh>
    <rPh sb="3" eb="5">
      <t>チュウイ</t>
    </rPh>
    <rPh sb="5" eb="7">
      <t>ジコウ</t>
    </rPh>
    <phoneticPr fontId="3"/>
  </si>
  <si>
    <t>原価試算メモ(営業用)</t>
    <rPh sb="0" eb="2">
      <t>ゲンカ</t>
    </rPh>
    <rPh sb="2" eb="4">
      <t>シサン</t>
    </rPh>
    <rPh sb="7" eb="10">
      <t>エイギョウヨウ</t>
    </rPh>
    <phoneticPr fontId="3"/>
  </si>
  <si>
    <t>工場</t>
    <phoneticPr fontId="3"/>
  </si>
  <si>
    <t>試作品テーブル.会社コード、部署コードで部署名を出力</t>
    <rPh sb="0" eb="3">
      <t>シサクヒン</t>
    </rPh>
    <rPh sb="8" eb="10">
      <t>カイシャ</t>
    </rPh>
    <rPh sb="14" eb="16">
      <t>ブショ</t>
    </rPh>
    <rPh sb="20" eb="22">
      <t>ブショ</t>
    </rPh>
    <rPh sb="22" eb="23">
      <t>メイ</t>
    </rPh>
    <rPh sb="24" eb="26">
      <t>シュツリョク</t>
    </rPh>
    <phoneticPr fontId="3"/>
  </si>
  <si>
    <t>&lt;試算条件&gt;</t>
  </si>
  <si>
    <t>試算試作品テーブル.発売時期</t>
    <rPh sb="0" eb="2">
      <t>シサン</t>
    </rPh>
    <rPh sb="2" eb="5">
      <t>シサクヒン</t>
    </rPh>
    <rPh sb="10" eb="12">
      <t>ハツバイ</t>
    </rPh>
    <rPh sb="12" eb="14">
      <t>ジキ</t>
    </rPh>
    <phoneticPr fontId="3"/>
  </si>
  <si>
    <t>試算試作品テーブル.販売課期間(通年orスポット)(hanbai_kikan_tani)+販売期間+販売期間(単位)(hanbai_kikan_tani)</t>
    <rPh sb="0" eb="2">
      <t>シサン</t>
    </rPh>
    <rPh sb="2" eb="5">
      <t>シサクヒン</t>
    </rPh>
    <rPh sb="10" eb="13">
      <t>ハンバイカ</t>
    </rPh>
    <rPh sb="13" eb="15">
      <t>キカン</t>
    </rPh>
    <rPh sb="16" eb="18">
      <t>ツウネン</t>
    </rPh>
    <rPh sb="45" eb="47">
      <t>ハンバイ</t>
    </rPh>
    <rPh sb="47" eb="49">
      <t>キカン</t>
    </rPh>
    <rPh sb="50" eb="52">
      <t>ハンバイ</t>
    </rPh>
    <rPh sb="52" eb="54">
      <t>キカン</t>
    </rPh>
    <rPh sb="55" eb="57">
      <t>タンイ</t>
    </rPh>
    <phoneticPr fontId="3"/>
  </si>
  <si>
    <t>試算試作品テーブル.原価</t>
    <rPh sb="0" eb="2">
      <t>シサン</t>
    </rPh>
    <rPh sb="2" eb="5">
      <t>シサクヒン</t>
    </rPh>
    <rPh sb="10" eb="12">
      <t>ゲンカ</t>
    </rPh>
    <phoneticPr fontId="3"/>
  </si>
  <si>
    <t>原価単位(K_tani_genka)</t>
    <rPh sb="0" eb="2">
      <t>ゲンカ</t>
    </rPh>
    <rPh sb="2" eb="4">
      <t>タンイ</t>
    </rPh>
    <phoneticPr fontId="3"/>
  </si>
  <si>
    <t>試算試作品テーブル.売価</t>
    <rPh sb="0" eb="2">
      <t>シサン</t>
    </rPh>
    <rPh sb="2" eb="5">
      <t>シサクヒン</t>
    </rPh>
    <rPh sb="10" eb="12">
      <t>バイカ</t>
    </rPh>
    <phoneticPr fontId="3"/>
  </si>
  <si>
    <t>初回納品時期</t>
    <rPh sb="0" eb="2">
      <t>ショカイ</t>
    </rPh>
    <rPh sb="2" eb="4">
      <t>ノウヒン</t>
    </rPh>
    <rPh sb="4" eb="6">
      <t>ジキ</t>
    </rPh>
    <phoneticPr fontId="3"/>
  </si>
  <si>
    <t>代入</t>
    <rPh sb="0" eb="2">
      <t>ダイニュウ</t>
    </rPh>
    <phoneticPr fontId="3"/>
  </si>
  <si>
    <t>想定物量(kg) 　　</t>
    <phoneticPr fontId="3"/>
  </si>
  <si>
    <t>原料使用見込み</t>
    <rPh sb="0" eb="2">
      <t>ゲンリョウ</t>
    </rPh>
    <phoneticPr fontId="3"/>
  </si>
  <si>
    <t>(注)原料使用見込みは歩留を加味しておりませんので、概算数量としてご参照ください。</t>
    <rPh sb="3" eb="5">
      <t>ゲンリョウ</t>
    </rPh>
    <rPh sb="5" eb="7">
      <t>シヨウ</t>
    </rPh>
    <rPh sb="7" eb="9">
      <t>ミコ</t>
    </rPh>
    <rPh sb="11" eb="13">
      <t>ブドマリ</t>
    </rPh>
    <rPh sb="14" eb="16">
      <t>カミ</t>
    </rPh>
    <rPh sb="26" eb="28">
      <t>ガイサン</t>
    </rPh>
    <rPh sb="28" eb="30">
      <t>スウリョウ</t>
    </rPh>
    <rPh sb="34" eb="36">
      <t>サンショウ</t>
    </rPh>
    <phoneticPr fontId="3"/>
  </si>
  <si>
    <t>製造ロット1</t>
    <rPh sb="0" eb="2">
      <t>セイゾウ</t>
    </rPh>
    <phoneticPr fontId="3"/>
  </si>
  <si>
    <t>製造ロット2</t>
    <rPh sb="0" eb="2">
      <t>セイゾウ</t>
    </rPh>
    <phoneticPr fontId="3"/>
  </si>
  <si>
    <t>製造ロット3</t>
    <rPh sb="0" eb="2">
      <t>セイゾウ</t>
    </rPh>
    <phoneticPr fontId="3"/>
  </si>
  <si>
    <t>想定物量単位1</t>
    <rPh sb="0" eb="2">
      <t>ソウテイ</t>
    </rPh>
    <rPh sb="2" eb="4">
      <t>ブツリョウ</t>
    </rPh>
    <rPh sb="4" eb="6">
      <t>タンイ</t>
    </rPh>
    <phoneticPr fontId="3"/>
  </si>
  <si>
    <t>想定物量単位2</t>
    <rPh sb="0" eb="2">
      <t>ソウテイ</t>
    </rPh>
    <rPh sb="2" eb="4">
      <t>ブツリョウ</t>
    </rPh>
    <rPh sb="4" eb="6">
      <t>タンイ</t>
    </rPh>
    <phoneticPr fontId="3"/>
  </si>
  <si>
    <t>想定物量単位3</t>
    <rPh sb="0" eb="2">
      <t>ソウテイ</t>
    </rPh>
    <rPh sb="2" eb="4">
      <t>ブツリョウ</t>
    </rPh>
    <rPh sb="4" eb="6">
      <t>タンイ</t>
    </rPh>
    <phoneticPr fontId="3"/>
  </si>
  <si>
    <t>発売時期1</t>
    <rPh sb="0" eb="2">
      <t>ハツバイ</t>
    </rPh>
    <rPh sb="2" eb="4">
      <t>ジキ</t>
    </rPh>
    <phoneticPr fontId="3"/>
  </si>
  <si>
    <t>発売時期2</t>
    <rPh sb="0" eb="2">
      <t>ハツバイ</t>
    </rPh>
    <rPh sb="2" eb="4">
      <t>ジキ</t>
    </rPh>
    <phoneticPr fontId="3"/>
  </si>
  <si>
    <t>発売時期3</t>
    <rPh sb="0" eb="2">
      <t>ハツバイ</t>
    </rPh>
    <rPh sb="2" eb="4">
      <t>ジキ</t>
    </rPh>
    <phoneticPr fontId="3"/>
  </si>
  <si>
    <t>販売期間1</t>
    <rPh sb="0" eb="2">
      <t>ハンバイ</t>
    </rPh>
    <rPh sb="2" eb="4">
      <t>キカン</t>
    </rPh>
    <phoneticPr fontId="3"/>
  </si>
  <si>
    <t>販売期間2</t>
    <rPh sb="0" eb="2">
      <t>ハンバイ</t>
    </rPh>
    <rPh sb="2" eb="4">
      <t>キカン</t>
    </rPh>
    <phoneticPr fontId="3"/>
  </si>
  <si>
    <t>販売期間3</t>
    <rPh sb="0" eb="2">
      <t>ハンバイ</t>
    </rPh>
    <rPh sb="2" eb="4">
      <t>キカン</t>
    </rPh>
    <phoneticPr fontId="3"/>
  </si>
  <si>
    <t>想定物量1</t>
    <phoneticPr fontId="3"/>
  </si>
  <si>
    <t>想定物量2</t>
    <phoneticPr fontId="3"/>
  </si>
  <si>
    <t>想定物量3</t>
    <phoneticPr fontId="3"/>
  </si>
  <si>
    <t>希望原価1</t>
    <phoneticPr fontId="3"/>
  </si>
  <si>
    <t>希望原価2</t>
    <phoneticPr fontId="3"/>
  </si>
  <si>
    <t>希望原価3</t>
    <phoneticPr fontId="3"/>
  </si>
  <si>
    <t>原価単位1</t>
    <rPh sb="0" eb="2">
      <t>ゲンカ</t>
    </rPh>
    <rPh sb="2" eb="4">
      <t>タンイ</t>
    </rPh>
    <phoneticPr fontId="3"/>
  </si>
  <si>
    <t>原価単位2</t>
    <rPh sb="0" eb="2">
      <t>ゲンカ</t>
    </rPh>
    <rPh sb="2" eb="4">
      <t>タンイ</t>
    </rPh>
    <phoneticPr fontId="3"/>
  </si>
  <si>
    <t>原価単位3</t>
    <rPh sb="0" eb="2">
      <t>ゲンカ</t>
    </rPh>
    <rPh sb="2" eb="4">
      <t>タンイ</t>
    </rPh>
    <phoneticPr fontId="3"/>
  </si>
  <si>
    <t>売価1</t>
    <phoneticPr fontId="3"/>
  </si>
  <si>
    <t>売価2</t>
    <phoneticPr fontId="3"/>
  </si>
  <si>
    <t>売価3</t>
    <phoneticPr fontId="3"/>
  </si>
  <si>
    <t>売価単位1</t>
    <rPh sb="0" eb="2">
      <t>バイカ</t>
    </rPh>
    <rPh sb="2" eb="4">
      <t>タンイ</t>
    </rPh>
    <phoneticPr fontId="3"/>
  </si>
  <si>
    <t>売価単位2</t>
    <rPh sb="0" eb="2">
      <t>バイカ</t>
    </rPh>
    <rPh sb="2" eb="4">
      <t>タンイ</t>
    </rPh>
    <phoneticPr fontId="3"/>
  </si>
  <si>
    <t>売価単位3</t>
    <rPh sb="0" eb="2">
      <t>バイカ</t>
    </rPh>
    <rPh sb="2" eb="4">
      <t>タンイ</t>
    </rPh>
    <phoneticPr fontId="3"/>
  </si>
  <si>
    <t>≪参考：ＫＧあたり≫</t>
    <phoneticPr fontId="3"/>
  </si>
  <si>
    <t>レベル量(g)2</t>
  </si>
  <si>
    <t>レベル量(g)3</t>
  </si>
  <si>
    <t>原料費/ケース3</t>
  </si>
  <si>
    <t>材料費/ケース2</t>
  </si>
  <si>
    <t>材料費/ケース3</t>
  </si>
  <si>
    <t>原価計/ケース2</t>
  </si>
  <si>
    <t>原価計/ケース3</t>
  </si>
  <si>
    <t>原価計/個2</t>
  </si>
  <si>
    <t>原価計/個3</t>
  </si>
  <si>
    <t>原料費/ＫＧ2</t>
  </si>
  <si>
    <t>原料費/ＫＧ3</t>
  </si>
  <si>
    <t>材料費/ＫＧ2</t>
  </si>
  <si>
    <t>材料費/ＫＧ3</t>
  </si>
  <si>
    <t>固定費/ＫＧ2</t>
  </si>
  <si>
    <t>固定費/ＫＧ3</t>
  </si>
  <si>
    <t>原価計/ＫＧ2</t>
  </si>
  <si>
    <t>原価計/ＫＧ3</t>
  </si>
  <si>
    <t>固定項目用 20140121追加</t>
    <rPh sb="0" eb="2">
      <t>コテイ</t>
    </rPh>
    <rPh sb="2" eb="4">
      <t>コウモク</t>
    </rPh>
    <rPh sb="4" eb="5">
      <t>ヨウ</t>
    </rPh>
    <rPh sb="14" eb="16">
      <t>ツイカ</t>
    </rPh>
    <phoneticPr fontId="3"/>
  </si>
  <si>
    <t>レベル量(g)1</t>
    <phoneticPr fontId="3"/>
  </si>
  <si>
    <t>原料費/ケース1</t>
    <phoneticPr fontId="3"/>
  </si>
  <si>
    <t>原料費/ケース2</t>
    <phoneticPr fontId="3"/>
  </si>
  <si>
    <t>材料費/ケース1</t>
    <phoneticPr fontId="3"/>
  </si>
  <si>
    <t>原価計/ケース1</t>
    <phoneticPr fontId="3"/>
  </si>
  <si>
    <t>原価計/個1</t>
    <phoneticPr fontId="3"/>
  </si>
  <si>
    <t>原料費/ＫＧ1</t>
    <phoneticPr fontId="3"/>
  </si>
  <si>
    <t>材料費/ＫＧ1</t>
    <phoneticPr fontId="3"/>
  </si>
  <si>
    <t>固定費/ＫＧ1</t>
    <phoneticPr fontId="3"/>
  </si>
  <si>
    <t>原価計/ＫＧ1</t>
    <phoneticPr fontId="3"/>
  </si>
  <si>
    <t>固定項目用 20140404追加</t>
    <rPh sb="0" eb="2">
      <t>コテイ</t>
    </rPh>
    <rPh sb="2" eb="4">
      <t>コウモク</t>
    </rPh>
    <rPh sb="4" eb="5">
      <t>ヨウ</t>
    </rPh>
    <rPh sb="14" eb="16">
      <t>ツイカ</t>
    </rPh>
    <phoneticPr fontId="3"/>
  </si>
  <si>
    <t>試算日</t>
    <rPh sb="0" eb="2">
      <t>シサン</t>
    </rPh>
    <rPh sb="2" eb="3">
      <t>ヒ</t>
    </rPh>
    <phoneticPr fontId="3"/>
  </si>
  <si>
    <t>試算日</t>
    <rPh sb="0" eb="2">
      <t>シサン</t>
    </rPh>
    <rPh sb="2" eb="3">
      <t>ビ</t>
    </rPh>
    <phoneticPr fontId="3"/>
  </si>
  <si>
    <t>試算日</t>
    <rPh sb="0" eb="3">
      <t>シサンビ</t>
    </rPh>
    <phoneticPr fontId="3"/>
  </si>
  <si>
    <t>試算日1</t>
    <rPh sb="0" eb="2">
      <t>シサン</t>
    </rPh>
    <rPh sb="2" eb="3">
      <t>ヒ</t>
    </rPh>
    <phoneticPr fontId="3"/>
  </si>
  <si>
    <t>試算日2</t>
    <rPh sb="0" eb="2">
      <t>シサン</t>
    </rPh>
    <rPh sb="2" eb="3">
      <t>ヒ</t>
    </rPh>
    <phoneticPr fontId="3"/>
  </si>
  <si>
    <t>試算日3</t>
    <rPh sb="0" eb="2">
      <t>シサン</t>
    </rPh>
    <rPh sb="2" eb="3">
      <t>ヒ</t>
    </rPh>
    <phoneticPr fontId="3"/>
  </si>
  <si>
    <t>希望特約1</t>
    <rPh sb="0" eb="2">
      <t>キボウ</t>
    </rPh>
    <rPh sb="2" eb="4">
      <t>トクヤク</t>
    </rPh>
    <phoneticPr fontId="3"/>
  </si>
  <si>
    <t>希望特約2</t>
    <rPh sb="0" eb="2">
      <t>キボウ</t>
    </rPh>
    <rPh sb="2" eb="4">
      <t>トクヤク</t>
    </rPh>
    <phoneticPr fontId="3"/>
  </si>
  <si>
    <t>希望特約3</t>
    <rPh sb="0" eb="2">
      <t>キボウ</t>
    </rPh>
    <rPh sb="2" eb="4">
      <t>トクヤク</t>
    </rPh>
    <phoneticPr fontId="3"/>
  </si>
  <si>
    <t>粗利1</t>
    <rPh sb="0" eb="2">
      <t>アラリ</t>
    </rPh>
    <phoneticPr fontId="3"/>
  </si>
  <si>
    <t>粗利2</t>
    <rPh sb="0" eb="2">
      <t>アラリ</t>
    </rPh>
    <phoneticPr fontId="3"/>
  </si>
  <si>
    <t>粗利3</t>
    <rPh sb="0" eb="2">
      <t>アラリ</t>
    </rPh>
    <phoneticPr fontId="3"/>
  </si>
  <si>
    <t>項目固定チェック1</t>
    <rPh sb="0" eb="2">
      <t>コウモク</t>
    </rPh>
    <rPh sb="2" eb="4">
      <t>コテイ</t>
    </rPh>
    <phoneticPr fontId="3"/>
  </si>
  <si>
    <t>項目固定チェック3</t>
    <rPh sb="0" eb="2">
      <t>コウモク</t>
    </rPh>
    <rPh sb="2" eb="4">
      <t>コテイ</t>
    </rPh>
    <phoneticPr fontId="3"/>
  </si>
  <si>
    <t>項目固定チェック2</t>
    <rPh sb="0" eb="2">
      <t>コウモク</t>
    </rPh>
    <rPh sb="2" eb="4">
      <t>コテイ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</si>
</sst>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76" formatCode="0.00_);[Red]\(0.00\)"/>
    <numFmt numFmtId="177" formatCode="0.0%"/>
    <numFmt numFmtId="178" formatCode="0_ "/>
    <numFmt numFmtId="179" formatCode="0.00_ ;[Red]\-0.00\ "/>
    <numFmt numFmtId="180" formatCode="yymmdd"/>
    <numFmt numFmtId="181" formatCode="0_ ;[Red]\-0\ "/>
    <numFmt numFmtId="182" formatCode="0.000000_ ;[Red]\-0.000000\ "/>
    <numFmt numFmtId="183" formatCode="#,##0_);[Red]\(#,##0\)"/>
    <numFmt numFmtId="184" formatCode="#,##0&quot;cs/月&quot;"/>
    <numFmt numFmtId="185" formatCode="0.000_ ;[Red]\-0.000\ "/>
    <numFmt numFmtId="186" formatCode="&quot;サンプル№&quot;0"/>
    <numFmt numFmtId="187" formatCode="#,##0.00&quot;円/個&quot;"/>
    <numFmt numFmtId="188" formatCode="0.00;_耀"/>
    <numFmt numFmtId="189" formatCode="#,##0.0&quot;㎏&quot;"/>
    <numFmt numFmtId="190" formatCode="#,###,###.###&quot;㎏&quot;"/>
  </numFmts>
  <fonts count="46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8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5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8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1"/>
      <name val="ＭＳ 明朝"/>
      <family val="1"/>
      <charset val="128"/>
    </font>
    <font>
      <sz val="14"/>
      <name val="ＭＳ Ｐゴシック"/>
      <family val="1"/>
      <charset val="128"/>
    </font>
    <font>
      <sz val="11"/>
      <name val="ＭＳ Ｐ明朝"/>
      <family val="1"/>
      <charset val="128"/>
    </font>
    <font>
      <sz val="10"/>
      <name val="ＭＳ Ｐ明朝"/>
      <family val="1"/>
      <charset val="128"/>
    </font>
    <font>
      <sz val="22"/>
      <color indexed="9"/>
      <name val="ＭＳ Ｐゴシック"/>
      <family val="3"/>
      <charset val="128"/>
    </font>
    <font>
      <b/>
      <sz val="18"/>
      <color indexed="62"/>
      <name val="ＭＳ Ｐゴシック"/>
      <family val="3"/>
      <charset val="128"/>
    </font>
    <font>
      <sz val="11"/>
      <color indexed="44"/>
      <name val="ＭＳ Ｐゴシック"/>
      <family val="3"/>
      <charset val="128"/>
    </font>
    <font>
      <sz val="22"/>
      <color indexed="9"/>
      <name val="HGｺﾞｼｯｸE"/>
      <family val="3"/>
      <charset val="128"/>
    </font>
    <font>
      <sz val="18"/>
      <color indexed="62"/>
      <name val="HGｺﾞｼｯｸE"/>
      <family val="3"/>
      <charset val="128"/>
    </font>
    <font>
      <b/>
      <u/>
      <sz val="16"/>
      <name val="ＭＳ Ｐゴシック"/>
      <family val="3"/>
      <charset val="128"/>
    </font>
    <font>
      <sz val="16"/>
      <name val="ＭＳ Ｐゴシック"/>
      <family val="3"/>
      <charset val="128"/>
    </font>
    <font>
      <sz val="12"/>
      <name val="ＭＳ Ｐゴシック"/>
      <family val="3"/>
      <charset val="128"/>
    </font>
    <font>
      <sz val="12"/>
      <color indexed="9"/>
      <name val="ＭＳ Ｐゴシック"/>
      <family val="3"/>
      <charset val="128"/>
    </font>
    <font>
      <sz val="22"/>
      <color indexed="9"/>
      <name val="HG創英角ｺﾞｼｯｸUB"/>
      <family val="3"/>
      <charset val="128"/>
    </font>
    <font>
      <sz val="24"/>
      <name val="ＭＳ Ｐゴシック"/>
      <family val="3"/>
      <charset val="128"/>
    </font>
    <font>
      <sz val="14"/>
      <name val="ＭＳ Ｐゴシック"/>
      <family val="3"/>
      <charset val="128"/>
    </font>
    <font>
      <u/>
      <sz val="13"/>
      <color indexed="10"/>
      <name val="HG創英角ｺﾞｼｯｸUB"/>
      <family val="3"/>
      <charset val="128"/>
    </font>
    <font>
      <b/>
      <sz val="12"/>
      <color indexed="12"/>
      <name val="ＭＳ Ｐゴシック"/>
      <family val="3"/>
      <charset val="128"/>
    </font>
    <font>
      <b/>
      <sz val="11"/>
      <name val="ＭＳ ゴシック"/>
      <family val="3"/>
      <charset val="128"/>
    </font>
    <font>
      <b/>
      <sz val="18"/>
      <color indexed="9"/>
      <name val="ＭＳ Ｐゴシック"/>
      <family val="3"/>
      <charset val="128"/>
    </font>
    <font>
      <u/>
      <sz val="11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8"/>
      <color indexed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1"/>
      <color indexed="12"/>
      <name val="ＭＳ Ｐゴシック"/>
      <family val="3"/>
      <charset val="128"/>
    </font>
    <font>
      <b/>
      <sz val="12"/>
      <color indexed="9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2"/>
      <color indexed="81"/>
      <name val="ＭＳ Ｐゴシック"/>
      <family val="3"/>
      <charset val="128"/>
    </font>
    <font>
      <b/>
      <sz val="11"/>
      <color indexed="12"/>
      <name val="ＭＳ Ｐゴシック"/>
      <family val="3"/>
      <charset val="128"/>
    </font>
    <font>
      <sz val="11"/>
      <color indexed="8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color indexed="10"/>
      <name val="ＭＳ Ｐ明朝"/>
      <family val="1"/>
      <charset val="128"/>
    </font>
    <font>
      <sz val="10"/>
      <color indexed="14"/>
      <name val="ＭＳ Ｐ明朝"/>
      <family val="1"/>
      <charset val="128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2"/>
        <bgColor indexed="64"/>
      </patternFill>
    </fill>
  </fills>
  <borders count="1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DashDotDot">
        <color indexed="64"/>
      </bottom>
      <diagonal/>
    </border>
    <border>
      <left/>
      <right/>
      <top style="hair">
        <color indexed="64"/>
      </top>
      <bottom style="mediumDashDotDot">
        <color indexed="64"/>
      </bottom>
      <diagonal/>
    </border>
    <border>
      <left style="medium">
        <color indexed="64"/>
      </left>
      <right/>
      <top style="mediumDashDotDot">
        <color indexed="64"/>
      </top>
      <bottom style="hair">
        <color indexed="64"/>
      </bottom>
      <diagonal/>
    </border>
    <border>
      <left/>
      <right/>
      <top style="mediumDashDotDot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dotted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DashDotDot">
        <color indexed="64"/>
      </bottom>
      <diagonal/>
    </border>
    <border>
      <left/>
      <right/>
      <top style="dotted">
        <color indexed="64"/>
      </top>
      <bottom style="mediumDashDotDot">
        <color indexed="64"/>
      </bottom>
      <diagonal/>
    </border>
    <border>
      <left/>
      <right style="medium">
        <color indexed="64"/>
      </right>
      <top style="dotted">
        <color indexed="64"/>
      </top>
      <bottom style="mediumDashDotDot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DashDotDot">
        <color indexed="64"/>
      </bottom>
      <diagonal/>
    </border>
    <border>
      <left style="medium">
        <color indexed="64"/>
      </left>
      <right/>
      <top style="mediumDashDotDot">
        <color indexed="64"/>
      </top>
      <bottom style="dotted">
        <color indexed="64"/>
      </bottom>
      <diagonal/>
    </border>
    <border>
      <left/>
      <right/>
      <top style="mediumDashDotDot">
        <color indexed="64"/>
      </top>
      <bottom style="dotted">
        <color indexed="64"/>
      </bottom>
      <diagonal/>
    </border>
    <border>
      <left/>
      <right style="medium">
        <color indexed="64"/>
      </right>
      <top style="mediumDashDotDot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DashDotDot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 style="medium">
        <color indexed="64"/>
      </right>
      <top style="double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DashDotDot">
        <color indexed="64"/>
      </bottom>
      <diagonal/>
    </border>
    <border>
      <left/>
      <right style="medium">
        <color indexed="64"/>
      </right>
      <top style="mediumDashDotDot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mediumDashDotDot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mediumDashDotDot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DashDotDot">
        <color indexed="64"/>
      </bottom>
      <diagonal/>
    </border>
    <border>
      <left style="medium">
        <color indexed="64"/>
      </left>
      <right style="medium">
        <color indexed="64"/>
      </right>
      <top style="mediumDashDotDot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0" fontId="12" fillId="0" borderId="0"/>
    <xf numFmtId="0" fontId="13" fillId="0" borderId="0"/>
  </cellStyleXfs>
  <cellXfs count="507">
    <xf numFmtId="0" fontId="0" fillId="0" borderId="0" xfId="0"/>
    <xf numFmtId="0" fontId="0" fillId="0" borderId="0" xfId="0" applyAlignment="1" applyProtection="1">
      <alignment shrinkToFit="1"/>
    </xf>
    <xf numFmtId="49" fontId="4" fillId="0" borderId="0" xfId="0" applyNumberFormat="1" applyFont="1" applyAlignment="1" applyProtection="1">
      <alignment horizontal="center" shrinkToFit="1"/>
    </xf>
    <xf numFmtId="0" fontId="14" fillId="0" borderId="0" xfId="3" applyFont="1"/>
    <xf numFmtId="0" fontId="14" fillId="2" borderId="1" xfId="3" applyFont="1" applyFill="1" applyBorder="1" applyAlignment="1">
      <alignment horizontal="center"/>
    </xf>
    <xf numFmtId="0" fontId="15" fillId="2" borderId="1" xfId="3" applyFont="1" applyFill="1" applyBorder="1" applyAlignment="1">
      <alignment horizontal="center"/>
    </xf>
    <xf numFmtId="0" fontId="14" fillId="0" borderId="1" xfId="3" applyFont="1" applyBorder="1"/>
    <xf numFmtId="0" fontId="15" fillId="0" borderId="1" xfId="3" applyFont="1" applyFill="1" applyBorder="1" applyAlignment="1"/>
    <xf numFmtId="0" fontId="15" fillId="0" borderId="1" xfId="3" applyFont="1" applyFill="1" applyBorder="1"/>
    <xf numFmtId="0" fontId="0" fillId="3" borderId="0" xfId="0" applyFill="1"/>
    <xf numFmtId="0" fontId="5" fillId="3" borderId="1" xfId="0" applyFont="1" applyFill="1" applyBorder="1"/>
    <xf numFmtId="186" fontId="5" fillId="3" borderId="1" xfId="0" applyNumberFormat="1" applyFont="1" applyFill="1" applyBorder="1" applyAlignment="1">
      <alignment horizontal="center"/>
    </xf>
    <xf numFmtId="187" fontId="5" fillId="3" borderId="1" xfId="0" applyNumberFormat="1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9" fillId="4" borderId="0" xfId="0" applyFont="1" applyFill="1"/>
    <xf numFmtId="0" fontId="17" fillId="3" borderId="0" xfId="0" applyFont="1" applyFill="1" applyAlignment="1">
      <alignment horizontal="center" vertical="center" shrinkToFit="1"/>
    </xf>
    <xf numFmtId="0" fontId="0" fillId="5" borderId="2" xfId="0" applyFill="1" applyBorder="1"/>
    <xf numFmtId="0" fontId="0" fillId="5" borderId="3" xfId="0" applyFill="1" applyBorder="1"/>
    <xf numFmtId="0" fontId="0" fillId="3" borderId="4" xfId="0" applyFill="1" applyBorder="1"/>
    <xf numFmtId="0" fontId="16" fillId="4" borderId="0" xfId="0" applyFont="1" applyFill="1" applyAlignment="1">
      <alignment vertical="center"/>
    </xf>
    <xf numFmtId="0" fontId="6" fillId="3" borderId="0" xfId="0" applyFont="1" applyFill="1"/>
    <xf numFmtId="0" fontId="7" fillId="5" borderId="5" xfId="0" applyFont="1" applyFill="1" applyBorder="1" applyAlignment="1">
      <alignment horizontal="center"/>
    </xf>
    <xf numFmtId="0" fontId="7" fillId="5" borderId="6" xfId="0" applyFont="1" applyFill="1" applyBorder="1" applyAlignment="1">
      <alignment horizontal="center"/>
    </xf>
    <xf numFmtId="0" fontId="7" fillId="5" borderId="7" xfId="0" applyFont="1" applyFill="1" applyBorder="1" applyAlignment="1">
      <alignment horizontal="left"/>
    </xf>
    <xf numFmtId="0" fontId="7" fillId="5" borderId="8" xfId="0" applyFont="1" applyFill="1" applyBorder="1" applyAlignment="1">
      <alignment horizontal="center" vertical="top"/>
    </xf>
    <xf numFmtId="0" fontId="10" fillId="5" borderId="9" xfId="0" applyFont="1" applyFill="1" applyBorder="1" applyAlignment="1">
      <alignment horizontal="center"/>
    </xf>
    <xf numFmtId="0" fontId="7" fillId="5" borderId="9" xfId="0" applyFont="1" applyFill="1" applyBorder="1" applyAlignment="1">
      <alignment horizontal="center"/>
    </xf>
    <xf numFmtId="0" fontId="10" fillId="5" borderId="10" xfId="0" applyFont="1" applyFill="1" applyBorder="1" applyAlignment="1">
      <alignment horizontal="center" vertical="top"/>
    </xf>
    <xf numFmtId="0" fontId="7" fillId="5" borderId="10" xfId="0" applyFont="1" applyFill="1" applyBorder="1" applyAlignment="1">
      <alignment horizontal="center" vertical="top"/>
    </xf>
    <xf numFmtId="0" fontId="7" fillId="5" borderId="11" xfId="0" applyFont="1" applyFill="1" applyBorder="1" applyAlignment="1">
      <alignment horizontal="center" vertical="top"/>
    </xf>
    <xf numFmtId="0" fontId="7" fillId="5" borderId="12" xfId="0" applyFont="1" applyFill="1" applyBorder="1" applyAlignment="1">
      <alignment horizontal="center" vertical="top"/>
    </xf>
    <xf numFmtId="0" fontId="7" fillId="5" borderId="13" xfId="0" applyFont="1" applyFill="1" applyBorder="1" applyAlignment="1">
      <alignment horizontal="center" vertical="top"/>
    </xf>
    <xf numFmtId="0" fontId="0" fillId="5" borderId="14" xfId="0" applyFill="1" applyBorder="1"/>
    <xf numFmtId="0" fontId="0" fillId="5" borderId="15" xfId="0" applyFill="1" applyBorder="1"/>
    <xf numFmtId="0" fontId="4" fillId="5" borderId="16" xfId="0" applyFont="1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7" fillId="3" borderId="17" xfId="0" applyFont="1" applyFill="1" applyBorder="1" applyAlignment="1">
      <alignment horizontal="right"/>
    </xf>
    <xf numFmtId="0" fontId="0" fillId="6" borderId="18" xfId="0" applyFill="1" applyBorder="1"/>
    <xf numFmtId="0" fontId="0" fillId="6" borderId="19" xfId="0" applyFill="1" applyBorder="1"/>
    <xf numFmtId="0" fontId="7" fillId="5" borderId="20" xfId="0" applyFont="1" applyFill="1" applyBorder="1" applyAlignment="1">
      <alignment horizontal="center"/>
    </xf>
    <xf numFmtId="0" fontId="7" fillId="5" borderId="21" xfId="0" applyFont="1" applyFill="1" applyBorder="1" applyAlignment="1">
      <alignment horizontal="center"/>
    </xf>
    <xf numFmtId="0" fontId="0" fillId="6" borderId="22" xfId="0" applyFill="1" applyBorder="1"/>
    <xf numFmtId="0" fontId="0" fillId="6" borderId="23" xfId="0" applyFill="1" applyBorder="1"/>
    <xf numFmtId="0" fontId="8" fillId="3" borderId="4" xfId="0" applyFont="1" applyFill="1" applyBorder="1" applyAlignment="1">
      <alignment horizontal="right"/>
    </xf>
    <xf numFmtId="0" fontId="11" fillId="3" borderId="4" xfId="0" applyFont="1" applyFill="1" applyBorder="1"/>
    <xf numFmtId="0" fontId="0" fillId="2" borderId="0" xfId="0" applyFill="1"/>
    <xf numFmtId="0" fontId="0" fillId="3" borderId="1" xfId="0" applyFill="1" applyBorder="1"/>
    <xf numFmtId="188" fontId="0" fillId="3" borderId="24" xfId="0" applyNumberFormat="1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188" fontId="0" fillId="3" borderId="17" xfId="0" applyNumberFormat="1" applyFill="1" applyBorder="1" applyAlignment="1">
      <alignment horizontal="center"/>
    </xf>
    <xf numFmtId="188" fontId="0" fillId="3" borderId="25" xfId="0" applyNumberFormat="1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0" fontId="5" fillId="3" borderId="26" xfId="0" applyFont="1" applyFill="1" applyBorder="1" applyAlignment="1">
      <alignment horizontal="center"/>
    </xf>
    <xf numFmtId="0" fontId="5" fillId="3" borderId="17" xfId="0" applyFont="1" applyFill="1" applyBorder="1" applyAlignment="1">
      <alignment horizontal="center"/>
    </xf>
    <xf numFmtId="0" fontId="5" fillId="3" borderId="25" xfId="0" applyFont="1" applyFill="1" applyBorder="1" applyAlignment="1">
      <alignment horizontal="center"/>
    </xf>
    <xf numFmtId="0" fontId="0" fillId="3" borderId="17" xfId="0" applyFill="1" applyBorder="1"/>
    <xf numFmtId="0" fontId="0" fillId="3" borderId="25" xfId="0" applyFill="1" applyBorder="1"/>
    <xf numFmtId="0" fontId="0" fillId="3" borderId="26" xfId="0" applyFill="1" applyBorder="1"/>
    <xf numFmtId="0" fontId="0" fillId="3" borderId="1" xfId="0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2" fontId="0" fillId="3" borderId="26" xfId="0" applyNumberFormat="1" applyFill="1" applyBorder="1" applyAlignment="1">
      <alignment horizontal="center"/>
    </xf>
    <xf numFmtId="0" fontId="0" fillId="3" borderId="26" xfId="0" applyNumberFormat="1" applyFill="1" applyBorder="1" applyAlignment="1">
      <alignment horizontal="center"/>
    </xf>
    <xf numFmtId="2" fontId="0" fillId="3" borderId="17" xfId="0" applyNumberFormat="1" applyFill="1" applyBorder="1" applyAlignment="1">
      <alignment horizontal="center"/>
    </xf>
    <xf numFmtId="0" fontId="0" fillId="3" borderId="17" xfId="0" applyNumberFormat="1" applyFill="1" applyBorder="1" applyAlignment="1">
      <alignment horizontal="center"/>
    </xf>
    <xf numFmtId="2" fontId="0" fillId="3" borderId="25" xfId="0" applyNumberFormat="1" applyFill="1" applyBorder="1" applyAlignment="1">
      <alignment horizontal="center"/>
    </xf>
    <xf numFmtId="0" fontId="0" fillId="3" borderId="25" xfId="0" applyNumberFormat="1" applyFill="1" applyBorder="1" applyAlignment="1">
      <alignment horizontal="center"/>
    </xf>
    <xf numFmtId="0" fontId="18" fillId="2" borderId="0" xfId="0" applyFont="1" applyFill="1"/>
    <xf numFmtId="49" fontId="19" fillId="4" borderId="0" xfId="0" applyNumberFormat="1" applyFont="1" applyFill="1" applyAlignment="1" applyProtection="1">
      <alignment horizontal="left" vertical="center"/>
    </xf>
    <xf numFmtId="49" fontId="19" fillId="4" borderId="0" xfId="0" applyNumberFormat="1" applyFont="1" applyFill="1" applyAlignment="1" applyProtection="1">
      <alignment horizontal="center" vertical="center" shrinkToFit="1"/>
    </xf>
    <xf numFmtId="0" fontId="20" fillId="0" borderId="0" xfId="0" applyFont="1" applyFill="1" applyAlignment="1" applyProtection="1">
      <alignment horizontal="left" vertical="center" shrinkToFit="1"/>
    </xf>
    <xf numFmtId="0" fontId="21" fillId="0" borderId="0" xfId="0" applyFont="1" applyFill="1" applyAlignment="1" applyProtection="1">
      <alignment horizontal="right" shrinkToFit="1"/>
    </xf>
    <xf numFmtId="0" fontId="22" fillId="5" borderId="27" xfId="0" applyNumberFormat="1" applyFont="1" applyFill="1" applyBorder="1" applyAlignment="1" applyProtection="1">
      <alignment horizontal="center"/>
    </xf>
    <xf numFmtId="0" fontId="23" fillId="0" borderId="0" xfId="0" applyFont="1" applyAlignment="1" applyProtection="1">
      <alignment horizontal="right" shrinkToFit="1"/>
    </xf>
    <xf numFmtId="180" fontId="24" fillId="0" borderId="0" xfId="0" applyNumberFormat="1" applyFont="1" applyFill="1" applyBorder="1" applyAlignment="1" applyProtection="1">
      <alignment horizontal="right" shrinkToFit="1"/>
    </xf>
    <xf numFmtId="0" fontId="0" fillId="0" borderId="0" xfId="0" applyBorder="1" applyAlignment="1" applyProtection="1">
      <alignment shrinkToFit="1"/>
    </xf>
    <xf numFmtId="31" fontId="0" fillId="0" borderId="0" xfId="0" applyNumberFormat="1" applyAlignment="1" applyProtection="1">
      <alignment horizontal="right" vertical="center"/>
    </xf>
    <xf numFmtId="0" fontId="25" fillId="7" borderId="0" xfId="0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left"/>
    </xf>
    <xf numFmtId="0" fontId="8" fillId="0" borderId="4" xfId="0" applyFont="1" applyBorder="1" applyAlignment="1" applyProtection="1">
      <alignment horizontal="right"/>
    </xf>
    <xf numFmtId="0" fontId="11" fillId="5" borderId="4" xfId="0" applyFont="1" applyFill="1" applyBorder="1" applyAlignment="1" applyProtection="1">
      <alignment horizontal="left"/>
    </xf>
    <xf numFmtId="0" fontId="8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left" shrinkToFit="1"/>
    </xf>
    <xf numFmtId="0" fontId="26" fillId="0" borderId="0" xfId="0" applyFont="1" applyBorder="1" applyAlignment="1" applyProtection="1">
      <alignment horizontal="center" shrinkToFit="1"/>
    </xf>
    <xf numFmtId="0" fontId="27" fillId="0" borderId="0" xfId="0" applyFont="1" applyBorder="1" applyAlignment="1" applyProtection="1">
      <alignment horizontal="center"/>
    </xf>
    <xf numFmtId="0" fontId="8" fillId="0" borderId="0" xfId="0" applyFont="1" applyAlignment="1" applyProtection="1">
      <alignment shrinkToFit="1"/>
    </xf>
    <xf numFmtId="0" fontId="7" fillId="0" borderId="0" xfId="0" applyFont="1" applyAlignment="1" applyProtection="1">
      <alignment shrinkToFit="1"/>
    </xf>
    <xf numFmtId="0" fontId="28" fillId="0" borderId="0" xfId="0" applyFont="1" applyFill="1" applyBorder="1" applyAlignment="1" applyProtection="1"/>
    <xf numFmtId="0" fontId="29" fillId="0" borderId="0" xfId="0" applyFont="1" applyFill="1" applyBorder="1" applyAlignment="1" applyProtection="1">
      <alignment horizontal="left" vertical="center"/>
    </xf>
    <xf numFmtId="0" fontId="30" fillId="0" borderId="0" xfId="0" applyFont="1" applyFill="1" applyBorder="1" applyAlignment="1" applyProtection="1"/>
    <xf numFmtId="0" fontId="31" fillId="0" borderId="0" xfId="0" applyFont="1" applyFill="1" applyBorder="1" applyAlignment="1" applyProtection="1">
      <alignment horizontal="center" vertical="center" shrinkToFit="1"/>
    </xf>
    <xf numFmtId="0" fontId="0" fillId="0" borderId="0" xfId="0" applyAlignment="1" applyProtection="1">
      <alignment horizontal="right" shrinkToFit="1"/>
    </xf>
    <xf numFmtId="0" fontId="0" fillId="0" borderId="0" xfId="0" applyFill="1" applyAlignment="1" applyProtection="1"/>
    <xf numFmtId="0" fontId="32" fillId="0" borderId="0" xfId="0" applyFont="1" applyFill="1" applyAlignment="1" applyProtection="1">
      <alignment shrinkToFit="1"/>
    </xf>
    <xf numFmtId="0" fontId="7" fillId="0" borderId="0" xfId="0" applyFont="1" applyFill="1" applyAlignment="1" applyProtection="1"/>
    <xf numFmtId="0" fontId="5" fillId="5" borderId="28" xfId="0" applyFont="1" applyFill="1" applyBorder="1" applyAlignment="1" applyProtection="1">
      <alignment shrinkToFit="1"/>
    </xf>
    <xf numFmtId="0" fontId="2" fillId="0" borderId="0" xfId="0" quotePrefix="1" applyFont="1" applyAlignment="1" applyProtection="1"/>
    <xf numFmtId="0" fontId="7" fillId="0" borderId="0" xfId="0" applyFont="1" applyAlignment="1" applyProtection="1">
      <alignment horizontal="left"/>
    </xf>
    <xf numFmtId="0" fontId="33" fillId="0" borderId="0" xfId="0" applyFont="1" applyBorder="1" applyAlignment="1" applyProtection="1"/>
    <xf numFmtId="0" fontId="34" fillId="0" borderId="0" xfId="0" applyFont="1" applyAlignment="1" applyProtection="1">
      <alignment horizontal="center" shrinkToFit="1"/>
    </xf>
    <xf numFmtId="0" fontId="27" fillId="0" borderId="0" xfId="0" applyFont="1" applyAlignment="1" applyProtection="1">
      <alignment shrinkToFit="1"/>
    </xf>
    <xf numFmtId="0" fontId="27" fillId="0" borderId="0" xfId="0" applyFont="1" applyFill="1" applyAlignment="1" applyProtection="1"/>
    <xf numFmtId="0" fontId="0" fillId="0" borderId="0" xfId="0" applyFill="1" applyAlignment="1" applyProtection="1">
      <alignment shrinkToFit="1"/>
    </xf>
    <xf numFmtId="0" fontId="5" fillId="0" borderId="29" xfId="0" applyFont="1" applyFill="1" applyBorder="1" applyAlignment="1" applyProtection="1">
      <alignment shrinkToFit="1"/>
    </xf>
    <xf numFmtId="0" fontId="2" fillId="0" borderId="0" xfId="0" quotePrefix="1" applyFont="1" applyFill="1" applyAlignment="1" applyProtection="1"/>
    <xf numFmtId="0" fontId="7" fillId="0" borderId="0" xfId="0" applyFont="1" applyFill="1" applyAlignment="1" applyProtection="1">
      <alignment horizontal="left"/>
    </xf>
    <xf numFmtId="0" fontId="34" fillId="0" borderId="0" xfId="0" applyFont="1" applyFill="1" applyAlignment="1" applyProtection="1">
      <alignment horizontal="center" shrinkToFit="1"/>
    </xf>
    <xf numFmtId="0" fontId="2" fillId="0" borderId="0" xfId="0" applyFont="1" applyFill="1" applyAlignment="1" applyProtection="1">
      <alignment shrinkToFit="1"/>
    </xf>
    <xf numFmtId="0" fontId="2" fillId="0" borderId="0" xfId="0" applyFont="1" applyFill="1" applyAlignment="1" applyProtection="1"/>
    <xf numFmtId="0" fontId="2" fillId="8" borderId="28" xfId="0" applyFont="1" applyFill="1" applyBorder="1" applyAlignment="1" applyProtection="1"/>
    <xf numFmtId="0" fontId="35" fillId="0" borderId="0" xfId="0" quotePrefix="1" applyFont="1" applyAlignment="1" applyProtection="1"/>
    <xf numFmtId="0" fontId="2" fillId="0" borderId="0" xfId="0" applyFont="1" applyBorder="1" applyAlignment="1" applyProtection="1"/>
    <xf numFmtId="0" fontId="27" fillId="0" borderId="0" xfId="0" applyFont="1" applyFill="1" applyBorder="1" applyAlignment="1" applyProtection="1">
      <alignment horizontal="left"/>
    </xf>
    <xf numFmtId="0" fontId="27" fillId="0" borderId="0" xfId="0" applyFont="1" applyBorder="1" applyAlignment="1" applyProtection="1">
      <alignment horizontal="left" wrapText="1"/>
    </xf>
    <xf numFmtId="0" fontId="5" fillId="0" borderId="0" xfId="0" applyFont="1" applyFill="1" applyBorder="1" applyAlignment="1" applyProtection="1">
      <alignment shrinkToFit="1"/>
    </xf>
    <xf numFmtId="0" fontId="7" fillId="0" borderId="0" xfId="0" applyFont="1" applyBorder="1" applyAlignment="1" applyProtection="1">
      <alignment horizontal="left"/>
    </xf>
    <xf numFmtId="0" fontId="34" fillId="0" borderId="0" xfId="0" applyFont="1" applyBorder="1" applyAlignment="1" applyProtection="1">
      <alignment horizontal="center" shrinkToFit="1"/>
    </xf>
    <xf numFmtId="0" fontId="0" fillId="0" borderId="0" xfId="0" applyBorder="1" applyAlignment="1" applyProtection="1">
      <alignment horizontal="left" wrapText="1" shrinkToFit="1"/>
    </xf>
    <xf numFmtId="49" fontId="4" fillId="0" borderId="0" xfId="0" applyNumberFormat="1" applyFont="1" applyFill="1" applyBorder="1" applyAlignment="1" applyProtection="1">
      <alignment horizontal="center" shrinkToFit="1"/>
    </xf>
    <xf numFmtId="0" fontId="0" fillId="0" borderId="0" xfId="0" applyFill="1" applyBorder="1" applyAlignment="1" applyProtection="1">
      <alignment shrinkToFit="1"/>
    </xf>
    <xf numFmtId="0" fontId="36" fillId="0" borderId="0" xfId="0" applyFont="1" applyAlignment="1" applyProtection="1">
      <alignment horizontal="center"/>
    </xf>
    <xf numFmtId="14" fontId="36" fillId="0" borderId="0" xfId="0" applyNumberFormat="1" applyFont="1" applyAlignment="1" applyProtection="1">
      <alignment horizontal="left"/>
    </xf>
    <xf numFmtId="0" fontId="0" fillId="0" borderId="0" xfId="0" applyAlignment="1" applyProtection="1"/>
    <xf numFmtId="31" fontId="36" fillId="0" borderId="0" xfId="0" applyNumberFormat="1" applyFont="1" applyAlignment="1" applyProtection="1"/>
    <xf numFmtId="0" fontId="0" fillId="0" borderId="0" xfId="0" applyAlignment="1" applyProtection="1">
      <alignment horizontal="center" vertical="center" shrinkToFit="1"/>
    </xf>
    <xf numFmtId="49" fontId="10" fillId="5" borderId="30" xfId="0" applyNumberFormat="1" applyFont="1" applyFill="1" applyBorder="1" applyAlignment="1" applyProtection="1">
      <alignment horizontal="center" shrinkToFit="1"/>
    </xf>
    <xf numFmtId="49" fontId="10" fillId="5" borderId="9" xfId="0" applyNumberFormat="1" applyFont="1" applyFill="1" applyBorder="1" applyAlignment="1" applyProtection="1">
      <alignment horizontal="center" wrapText="1" shrinkToFit="1"/>
    </xf>
    <xf numFmtId="0" fontId="7" fillId="5" borderId="9" xfId="0" applyFont="1" applyFill="1" applyBorder="1" applyAlignment="1" applyProtection="1">
      <alignment horizontal="center" wrapText="1" shrinkToFit="1"/>
    </xf>
    <xf numFmtId="0" fontId="7" fillId="5" borderId="9" xfId="0" applyFont="1" applyFill="1" applyBorder="1" applyAlignment="1" applyProtection="1">
      <alignment horizontal="center" shrinkToFit="1"/>
    </xf>
    <xf numFmtId="0" fontId="7" fillId="5" borderId="31" xfId="0" applyFont="1" applyFill="1" applyBorder="1" applyAlignment="1" applyProtection="1">
      <alignment horizontal="center" wrapText="1" shrinkToFit="1"/>
    </xf>
    <xf numFmtId="0" fontId="7" fillId="5" borderId="32" xfId="0" applyFont="1" applyFill="1" applyBorder="1" applyAlignment="1" applyProtection="1">
      <alignment horizontal="center" shrinkToFit="1"/>
    </xf>
    <xf numFmtId="0" fontId="7" fillId="5" borderId="33" xfId="0" applyFont="1" applyFill="1" applyBorder="1" applyAlignment="1" applyProtection="1">
      <alignment horizontal="right" shrinkToFit="1"/>
    </xf>
    <xf numFmtId="0" fontId="7" fillId="5" borderId="7" xfId="0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 vertical="center" shrinkToFit="1"/>
    </xf>
    <xf numFmtId="0" fontId="37" fillId="9" borderId="5" xfId="0" applyFont="1" applyFill="1" applyBorder="1" applyAlignment="1" applyProtection="1">
      <alignment horizontal="center" vertical="center"/>
    </xf>
    <xf numFmtId="0" fontId="37" fillId="9" borderId="6" xfId="0" applyFont="1" applyFill="1" applyBorder="1" applyAlignment="1" applyProtection="1">
      <alignment horizontal="center" vertical="center"/>
    </xf>
    <xf numFmtId="49" fontId="10" fillId="5" borderId="34" xfId="0" applyNumberFormat="1" applyFont="1" applyFill="1" applyBorder="1" applyAlignment="1" applyProtection="1">
      <alignment horizontal="center" vertical="top" shrinkToFit="1"/>
    </xf>
    <xf numFmtId="49" fontId="10" fillId="5" borderId="10" xfId="0" applyNumberFormat="1" applyFont="1" applyFill="1" applyBorder="1" applyAlignment="1" applyProtection="1">
      <alignment horizontal="center" vertical="top" wrapText="1" shrinkToFit="1"/>
    </xf>
    <xf numFmtId="0" fontId="7" fillId="5" borderId="10" xfId="0" applyFont="1" applyFill="1" applyBorder="1" applyAlignment="1" applyProtection="1">
      <alignment horizontal="center" vertical="top" shrinkToFit="1"/>
    </xf>
    <xf numFmtId="0" fontId="7" fillId="5" borderId="35" xfId="0" applyFont="1" applyFill="1" applyBorder="1" applyAlignment="1" applyProtection="1">
      <alignment horizontal="center" vertical="top" wrapText="1" shrinkToFit="1"/>
    </xf>
    <xf numFmtId="0" fontId="7" fillId="5" borderId="36" xfId="0" applyFont="1" applyFill="1" applyBorder="1" applyAlignment="1" applyProtection="1">
      <alignment horizontal="center" vertical="top" shrinkToFit="1"/>
    </xf>
    <xf numFmtId="0" fontId="7" fillId="5" borderId="11" xfId="0" applyFont="1" applyFill="1" applyBorder="1" applyAlignment="1" applyProtection="1">
      <alignment horizontal="center" vertical="top" shrinkToFit="1"/>
    </xf>
    <xf numFmtId="0" fontId="38" fillId="5" borderId="37" xfId="0" applyFont="1" applyFill="1" applyBorder="1" applyAlignment="1" applyProtection="1">
      <alignment horizontal="center" vertical="center"/>
    </xf>
    <xf numFmtId="49" fontId="7" fillId="5" borderId="38" xfId="0" applyNumberFormat="1" applyFont="1" applyFill="1" applyBorder="1" applyAlignment="1" applyProtection="1">
      <alignment horizontal="center" vertical="center" shrinkToFit="1"/>
    </xf>
    <xf numFmtId="49" fontId="7" fillId="5" borderId="39" xfId="0" applyNumberFormat="1" applyFont="1" applyFill="1" applyBorder="1" applyAlignment="1" applyProtection="1">
      <alignment horizontal="center" vertical="center" shrinkToFit="1"/>
    </xf>
    <xf numFmtId="49" fontId="7" fillId="5" borderId="39" xfId="0" applyNumberFormat="1" applyFont="1" applyFill="1" applyBorder="1" applyAlignment="1" applyProtection="1">
      <alignment horizontal="right" vertical="center" shrinkToFit="1"/>
    </xf>
    <xf numFmtId="49" fontId="7" fillId="5" borderId="40" xfId="0" applyNumberFormat="1" applyFont="1" applyFill="1" applyBorder="1" applyAlignment="1" applyProtection="1">
      <alignment horizontal="center" vertical="center"/>
    </xf>
    <xf numFmtId="49" fontId="7" fillId="5" borderId="41" xfId="0" applyNumberFormat="1" applyFont="1" applyFill="1" applyBorder="1" applyAlignment="1" applyProtection="1">
      <alignment horizontal="center" vertical="center" shrinkToFit="1"/>
    </xf>
    <xf numFmtId="176" fontId="2" fillId="5" borderId="42" xfId="0" applyNumberFormat="1" applyFont="1" applyFill="1" applyBorder="1" applyAlignment="1" applyProtection="1">
      <alignment horizontal="right" vertical="center" shrinkToFit="1"/>
    </xf>
    <xf numFmtId="0" fontId="2" fillId="5" borderId="41" xfId="0" applyFont="1" applyFill="1" applyBorder="1" applyAlignment="1" applyProtection="1">
      <alignment horizontal="left" vertical="center"/>
    </xf>
    <xf numFmtId="49" fontId="4" fillId="5" borderId="43" xfId="0" applyNumberFormat="1" applyFont="1" applyFill="1" applyBorder="1" applyAlignment="1" applyProtection="1">
      <alignment horizontal="center" shrinkToFit="1"/>
    </xf>
    <xf numFmtId="49" fontId="4" fillId="5" borderId="44" xfId="0" applyNumberFormat="1" applyFont="1" applyFill="1" applyBorder="1" applyAlignment="1" applyProtection="1">
      <alignment horizontal="center" shrinkToFit="1"/>
      <protection locked="0"/>
    </xf>
    <xf numFmtId="0" fontId="7" fillId="0" borderId="44" xfId="0" applyFont="1" applyFill="1" applyBorder="1" applyAlignment="1" applyProtection="1">
      <alignment horizontal="right" wrapText="1" shrinkToFit="1"/>
      <protection locked="0"/>
    </xf>
    <xf numFmtId="0" fontId="2" fillId="0" borderId="45" xfId="0" applyFont="1" applyFill="1" applyBorder="1" applyAlignment="1" applyProtection="1">
      <alignment horizontal="left"/>
      <protection locked="0"/>
    </xf>
    <xf numFmtId="179" fontId="2" fillId="8" borderId="44" xfId="0" applyNumberFormat="1" applyFont="1" applyFill="1" applyBorder="1" applyAlignment="1" applyProtection="1">
      <alignment horizontal="right" shrinkToFit="1"/>
      <protection locked="0"/>
    </xf>
    <xf numFmtId="177" fontId="2" fillId="8" borderId="46" xfId="1" applyNumberFormat="1" applyFont="1" applyFill="1" applyBorder="1" applyAlignment="1" applyProtection="1">
      <alignment horizontal="right" shrinkToFit="1"/>
      <protection locked="0"/>
    </xf>
    <xf numFmtId="185" fontId="2" fillId="5" borderId="47" xfId="2" applyNumberFormat="1" applyFont="1" applyFill="1" applyBorder="1" applyAlignment="1" applyProtection="1">
      <alignment horizontal="right" shrinkToFit="1"/>
    </xf>
    <xf numFmtId="0" fontId="2" fillId="8" borderId="48" xfId="0" applyFont="1" applyFill="1" applyBorder="1" applyAlignment="1" applyProtection="1">
      <alignment horizontal="left"/>
      <protection locked="0"/>
    </xf>
    <xf numFmtId="0" fontId="7" fillId="0" borderId="44" xfId="0" applyFont="1" applyFill="1" applyBorder="1" applyAlignment="1" applyProtection="1">
      <alignment horizontal="right" shrinkToFit="1"/>
      <protection locked="0"/>
    </xf>
    <xf numFmtId="49" fontId="4" fillId="5" borderId="49" xfId="0" applyNumberFormat="1" applyFont="1" applyFill="1" applyBorder="1" applyAlignment="1" applyProtection="1">
      <alignment horizontal="center" shrinkToFit="1"/>
    </xf>
    <xf numFmtId="49" fontId="4" fillId="5" borderId="50" xfId="0" applyNumberFormat="1" applyFont="1" applyFill="1" applyBorder="1" applyAlignment="1" applyProtection="1">
      <alignment horizontal="center" shrinkToFit="1"/>
      <protection locked="0"/>
    </xf>
    <xf numFmtId="0" fontId="7" fillId="0" borderId="50" xfId="0" applyFont="1" applyFill="1" applyBorder="1" applyAlignment="1" applyProtection="1">
      <alignment horizontal="right" shrinkToFit="1"/>
      <protection locked="0"/>
    </xf>
    <xf numFmtId="0" fontId="2" fillId="0" borderId="51" xfId="0" applyFont="1" applyFill="1" applyBorder="1" applyAlignment="1" applyProtection="1">
      <alignment horizontal="left"/>
      <protection locked="0"/>
    </xf>
    <xf numFmtId="179" fontId="2" fillId="8" borderId="50" xfId="0" applyNumberFormat="1" applyFont="1" applyFill="1" applyBorder="1" applyAlignment="1" applyProtection="1">
      <alignment horizontal="right" shrinkToFit="1"/>
      <protection locked="0"/>
    </xf>
    <xf numFmtId="177" fontId="2" fillId="8" borderId="52" xfId="1" applyNumberFormat="1" applyFont="1" applyFill="1" applyBorder="1" applyAlignment="1" applyProtection="1">
      <alignment horizontal="right" shrinkToFit="1"/>
      <protection locked="0"/>
    </xf>
    <xf numFmtId="185" fontId="2" fillId="5" borderId="53" xfId="2" applyNumberFormat="1" applyFont="1" applyFill="1" applyBorder="1" applyAlignment="1" applyProtection="1">
      <alignment horizontal="right" shrinkToFit="1"/>
    </xf>
    <xf numFmtId="0" fontId="2" fillId="8" borderId="54" xfId="0" applyFont="1" applyFill="1" applyBorder="1" applyAlignment="1" applyProtection="1">
      <alignment horizontal="left"/>
      <protection locked="0"/>
    </xf>
    <xf numFmtId="49" fontId="4" fillId="5" borderId="55" xfId="0" applyNumberFormat="1" applyFont="1" applyFill="1" applyBorder="1" applyAlignment="1" applyProtection="1">
      <alignment horizontal="center" shrinkToFit="1"/>
    </xf>
    <xf numFmtId="49" fontId="4" fillId="5" borderId="56" xfId="0" applyNumberFormat="1" applyFont="1" applyFill="1" applyBorder="1" applyAlignment="1" applyProtection="1">
      <alignment horizontal="center" shrinkToFit="1"/>
      <protection locked="0"/>
    </xf>
    <xf numFmtId="0" fontId="7" fillId="0" borderId="56" xfId="0" applyFont="1" applyFill="1" applyBorder="1" applyAlignment="1" applyProtection="1">
      <alignment horizontal="right" shrinkToFit="1"/>
      <protection locked="0"/>
    </xf>
    <xf numFmtId="0" fontId="2" fillId="0" borderId="57" xfId="0" applyFont="1" applyFill="1" applyBorder="1" applyAlignment="1" applyProtection="1">
      <alignment horizontal="left"/>
      <protection locked="0"/>
    </xf>
    <xf numFmtId="179" fontId="2" fillId="8" borderId="56" xfId="0" applyNumberFormat="1" applyFont="1" applyFill="1" applyBorder="1" applyAlignment="1" applyProtection="1">
      <alignment horizontal="right" shrinkToFit="1"/>
      <protection locked="0"/>
    </xf>
    <xf numFmtId="177" fontId="2" fillId="8" borderId="58" xfId="1" applyNumberFormat="1" applyFont="1" applyFill="1" applyBorder="1" applyAlignment="1" applyProtection="1">
      <alignment horizontal="right" shrinkToFit="1"/>
      <protection locked="0"/>
    </xf>
    <xf numFmtId="185" fontId="2" fillId="5" borderId="59" xfId="2" applyNumberFormat="1" applyFont="1" applyFill="1" applyBorder="1" applyAlignment="1" applyProtection="1">
      <alignment horizontal="right" shrinkToFit="1"/>
    </xf>
    <xf numFmtId="0" fontId="2" fillId="8" borderId="60" xfId="0" applyFont="1" applyFill="1" applyBorder="1" applyAlignment="1" applyProtection="1">
      <alignment horizontal="left"/>
      <protection locked="0"/>
    </xf>
    <xf numFmtId="49" fontId="4" fillId="6" borderId="61" xfId="0" applyNumberFormat="1" applyFont="1" applyFill="1" applyBorder="1" applyAlignment="1" applyProtection="1">
      <alignment horizontal="center" shrinkToFit="1"/>
    </xf>
    <xf numFmtId="49" fontId="4" fillId="6" borderId="62" xfId="0" applyNumberFormat="1" applyFont="1" applyFill="1" applyBorder="1" applyAlignment="1" applyProtection="1">
      <alignment horizontal="center" shrinkToFit="1"/>
    </xf>
    <xf numFmtId="0" fontId="7" fillId="6" borderId="62" xfId="0" applyFont="1" applyFill="1" applyBorder="1" applyAlignment="1" applyProtection="1">
      <alignment horizontal="right" shrinkToFit="1"/>
    </xf>
    <xf numFmtId="0" fontId="35" fillId="6" borderId="62" xfId="0" applyFont="1" applyFill="1" applyBorder="1" applyAlignment="1" applyProtection="1">
      <alignment horizontal="center"/>
    </xf>
    <xf numFmtId="179" fontId="7" fillId="6" borderId="62" xfId="0" applyNumberFormat="1" applyFont="1" applyFill="1" applyBorder="1" applyAlignment="1" applyProtection="1">
      <alignment horizontal="right" shrinkToFit="1"/>
    </xf>
    <xf numFmtId="177" fontId="2" fillId="6" borderId="63" xfId="1" applyNumberFormat="1" applyFont="1" applyFill="1" applyBorder="1" applyAlignment="1" applyProtection="1">
      <alignment horizontal="right" shrinkToFit="1"/>
    </xf>
    <xf numFmtId="185" fontId="7" fillId="6" borderId="64" xfId="2" applyNumberFormat="1" applyFont="1" applyFill="1" applyBorder="1" applyAlignment="1" applyProtection="1">
      <alignment horizontal="right" shrinkToFit="1"/>
    </xf>
    <xf numFmtId="0" fontId="2" fillId="8" borderId="63" xfId="0" applyFont="1" applyFill="1" applyBorder="1" applyAlignment="1" applyProtection="1">
      <alignment horizontal="left"/>
      <protection locked="0"/>
    </xf>
    <xf numFmtId="49" fontId="4" fillId="5" borderId="65" xfId="0" applyNumberFormat="1" applyFont="1" applyFill="1" applyBorder="1" applyAlignment="1" applyProtection="1">
      <alignment horizontal="center" shrinkToFit="1"/>
    </xf>
    <xf numFmtId="49" fontId="7" fillId="5" borderId="66" xfId="0" applyNumberFormat="1" applyFont="1" applyFill="1" applyBorder="1" applyAlignment="1" applyProtection="1">
      <alignment horizontal="center" shrinkToFit="1"/>
    </xf>
    <xf numFmtId="49" fontId="35" fillId="5" borderId="66" xfId="0" applyNumberFormat="1" applyFont="1" applyFill="1" applyBorder="1" applyAlignment="1" applyProtection="1">
      <alignment horizontal="center"/>
    </xf>
    <xf numFmtId="179" fontId="2" fillId="5" borderId="66" xfId="0" applyNumberFormat="1" applyFont="1" applyFill="1" applyBorder="1" applyAlignment="1" applyProtection="1">
      <alignment horizontal="right" shrinkToFit="1"/>
    </xf>
    <xf numFmtId="177" fontId="7" fillId="5" borderId="67" xfId="0" applyNumberFormat="1" applyFont="1" applyFill="1" applyBorder="1" applyAlignment="1" applyProtection="1">
      <alignment horizontal="right" shrinkToFit="1"/>
    </xf>
    <xf numFmtId="185" fontId="2" fillId="5" borderId="68" xfId="2" applyNumberFormat="1" applyFont="1" applyFill="1" applyBorder="1" applyAlignment="1" applyProtection="1">
      <alignment horizontal="right" shrinkToFit="1"/>
    </xf>
    <xf numFmtId="0" fontId="2" fillId="8" borderId="67" xfId="0" applyFont="1" applyFill="1" applyBorder="1" applyAlignment="1" applyProtection="1">
      <alignment horizontal="left"/>
      <protection locked="0"/>
    </xf>
    <xf numFmtId="0" fontId="0" fillId="9" borderId="6" xfId="0" applyFill="1" applyBorder="1" applyAlignment="1" applyProtection="1">
      <alignment horizontal="center" vertical="center" shrinkToFit="1"/>
    </xf>
    <xf numFmtId="0" fontId="0" fillId="9" borderId="7" xfId="0" applyFill="1" applyBorder="1" applyAlignment="1" applyProtection="1">
      <alignment horizontal="center" vertical="center" shrinkToFit="1"/>
    </xf>
    <xf numFmtId="0" fontId="37" fillId="9" borderId="69" xfId="0" applyFont="1" applyFill="1" applyBorder="1" applyAlignment="1" applyProtection="1">
      <alignment horizontal="center" vertical="center"/>
    </xf>
    <xf numFmtId="0" fontId="0" fillId="9" borderId="70" xfId="0" applyFill="1" applyBorder="1" applyAlignment="1" applyProtection="1">
      <alignment horizontal="center" vertical="center" shrinkToFit="1"/>
    </xf>
    <xf numFmtId="0" fontId="37" fillId="9" borderId="70" xfId="0" applyFont="1" applyFill="1" applyBorder="1" applyAlignment="1" applyProtection="1">
      <alignment horizontal="center" vertical="center"/>
    </xf>
    <xf numFmtId="0" fontId="0" fillId="9" borderId="71" xfId="0" applyFill="1" applyBorder="1" applyAlignment="1" applyProtection="1">
      <alignment horizontal="center" vertical="center" shrinkToFit="1"/>
    </xf>
    <xf numFmtId="0" fontId="2" fillId="8" borderId="72" xfId="0" applyFont="1" applyFill="1" applyBorder="1" applyAlignment="1" applyProtection="1">
      <alignment horizontal="left"/>
      <protection locked="0"/>
    </xf>
    <xf numFmtId="49" fontId="4" fillId="6" borderId="73" xfId="0" applyNumberFormat="1" applyFont="1" applyFill="1" applyBorder="1" applyAlignment="1" applyProtection="1">
      <alignment horizontal="center" shrinkToFit="1"/>
    </xf>
    <xf numFmtId="49" fontId="10" fillId="6" borderId="74" xfId="0" applyNumberFormat="1" applyFont="1" applyFill="1" applyBorder="1" applyAlignment="1" applyProtection="1">
      <alignment horizontal="center" shrinkToFit="1"/>
    </xf>
    <xf numFmtId="0" fontId="7" fillId="6" borderId="74" xfId="0" applyFont="1" applyFill="1" applyBorder="1" applyAlignment="1" applyProtection="1">
      <alignment horizontal="center" shrinkToFit="1"/>
    </xf>
    <xf numFmtId="0" fontId="35" fillId="6" borderId="74" xfId="0" applyFont="1" applyFill="1" applyBorder="1" applyAlignment="1" applyProtection="1">
      <alignment horizontal="center"/>
    </xf>
    <xf numFmtId="179" fontId="7" fillId="6" borderId="74" xfId="0" applyNumberFormat="1" applyFont="1" applyFill="1" applyBorder="1" applyAlignment="1" applyProtection="1">
      <alignment horizontal="center" shrinkToFit="1"/>
    </xf>
    <xf numFmtId="177" fontId="7" fillId="6" borderId="72" xfId="1" applyNumberFormat="1" applyFont="1" applyFill="1" applyBorder="1" applyAlignment="1" applyProtection="1">
      <alignment horizontal="center" shrinkToFit="1"/>
    </xf>
    <xf numFmtId="185" fontId="7" fillId="6" borderId="75" xfId="2" applyNumberFormat="1" applyFont="1" applyFill="1" applyBorder="1" applyAlignment="1" applyProtection="1">
      <alignment horizontal="right" shrinkToFit="1"/>
    </xf>
    <xf numFmtId="185" fontId="7" fillId="6" borderId="73" xfId="2" applyNumberFormat="1" applyFont="1" applyFill="1" applyBorder="1" applyAlignment="1" applyProtection="1">
      <alignment horizontal="right" shrinkToFit="1"/>
    </xf>
    <xf numFmtId="0" fontId="7" fillId="0" borderId="76" xfId="0" applyFont="1" applyFill="1" applyBorder="1" applyAlignment="1" applyProtection="1">
      <alignment horizontal="center"/>
    </xf>
    <xf numFmtId="49" fontId="4" fillId="5" borderId="77" xfId="0" applyNumberFormat="1" applyFont="1" applyFill="1" applyBorder="1" applyAlignment="1" applyProtection="1">
      <alignment horizontal="center" shrinkToFit="1"/>
    </xf>
    <xf numFmtId="49" fontId="4" fillId="5" borderId="78" xfId="0" applyNumberFormat="1" applyFont="1" applyFill="1" applyBorder="1" applyAlignment="1" applyProtection="1">
      <alignment horizontal="center" shrinkToFit="1"/>
    </xf>
    <xf numFmtId="0" fontId="7" fillId="5" borderId="78" xfId="0" applyFont="1" applyFill="1" applyBorder="1" applyAlignment="1" applyProtection="1">
      <alignment horizontal="right" shrinkToFit="1"/>
    </xf>
    <xf numFmtId="0" fontId="35" fillId="5" borderId="78" xfId="0" applyFont="1" applyFill="1" applyBorder="1" applyAlignment="1" applyProtection="1">
      <alignment horizontal="center"/>
    </xf>
    <xf numFmtId="179" fontId="2" fillId="5" borderId="78" xfId="0" applyNumberFormat="1" applyFont="1" applyFill="1" applyBorder="1" applyAlignment="1" applyProtection="1">
      <alignment horizontal="right" shrinkToFit="1"/>
    </xf>
    <xf numFmtId="177" fontId="2" fillId="5" borderId="79" xfId="0" applyNumberFormat="1" applyFont="1" applyFill="1" applyBorder="1" applyAlignment="1" applyProtection="1">
      <alignment horizontal="right" shrinkToFit="1"/>
    </xf>
    <xf numFmtId="185" fontId="7" fillId="0" borderId="80" xfId="2" applyNumberFormat="1" applyFont="1" applyFill="1" applyBorder="1" applyAlignment="1" applyProtection="1">
      <alignment horizontal="right" shrinkToFit="1"/>
    </xf>
    <xf numFmtId="0" fontId="2" fillId="0" borderId="81" xfId="0" applyFont="1" applyFill="1" applyBorder="1" applyAlignment="1" applyProtection="1">
      <alignment horizontal="left" wrapText="1"/>
    </xf>
    <xf numFmtId="49" fontId="4" fillId="5" borderId="46" xfId="0" applyNumberFormat="1" applyFont="1" applyFill="1" applyBorder="1" applyAlignment="1" applyProtection="1">
      <alignment horizontal="center" shrinkToFit="1"/>
    </xf>
    <xf numFmtId="0" fontId="7" fillId="5" borderId="46" xfId="0" applyFont="1" applyFill="1" applyBorder="1" applyAlignment="1" applyProtection="1">
      <alignment horizontal="right" shrinkToFit="1"/>
    </xf>
    <xf numFmtId="0" fontId="7" fillId="5" borderId="46" xfId="0" applyFont="1" applyFill="1" applyBorder="1" applyAlignment="1" applyProtection="1">
      <alignment horizontal="center"/>
    </xf>
    <xf numFmtId="179" fontId="2" fillId="5" borderId="46" xfId="0" applyNumberFormat="1" applyFont="1" applyFill="1" applyBorder="1" applyAlignment="1" applyProtection="1">
      <alignment horizontal="right" shrinkToFit="1"/>
    </xf>
    <xf numFmtId="177" fontId="2" fillId="5" borderId="48" xfId="0" applyNumberFormat="1" applyFont="1" applyFill="1" applyBorder="1" applyAlignment="1" applyProtection="1">
      <alignment horizontal="right" shrinkToFit="1"/>
    </xf>
    <xf numFmtId="185" fontId="7" fillId="0" borderId="47" xfId="2" applyNumberFormat="1" applyFont="1" applyFill="1" applyBorder="1" applyAlignment="1" applyProtection="1">
      <alignment horizontal="right" shrinkToFit="1"/>
    </xf>
    <xf numFmtId="49" fontId="4" fillId="5" borderId="73" xfId="0" applyNumberFormat="1" applyFont="1" applyFill="1" applyBorder="1" applyAlignment="1" applyProtection="1">
      <alignment horizontal="center" shrinkToFit="1"/>
    </xf>
    <xf numFmtId="49" fontId="4" fillId="5" borderId="74" xfId="0" applyNumberFormat="1" applyFont="1" applyFill="1" applyBorder="1" applyAlignment="1" applyProtection="1">
      <alignment horizontal="center" shrinkToFit="1"/>
    </xf>
    <xf numFmtId="0" fontId="7" fillId="5" borderId="74" xfId="0" applyFont="1" applyFill="1" applyBorder="1" applyAlignment="1" applyProtection="1">
      <alignment horizontal="right" shrinkToFit="1"/>
    </xf>
    <xf numFmtId="0" fontId="7" fillId="5" borderId="74" xfId="0" applyFont="1" applyFill="1" applyBorder="1" applyAlignment="1" applyProtection="1">
      <alignment horizontal="center"/>
    </xf>
    <xf numFmtId="179" fontId="2" fillId="5" borderId="74" xfId="0" applyNumberFormat="1" applyFont="1" applyFill="1" applyBorder="1" applyAlignment="1" applyProtection="1">
      <alignment horizontal="right" shrinkToFit="1"/>
    </xf>
    <xf numFmtId="177" fontId="2" fillId="5" borderId="72" xfId="0" applyNumberFormat="1" applyFont="1" applyFill="1" applyBorder="1" applyAlignment="1" applyProtection="1">
      <alignment horizontal="right" shrinkToFit="1"/>
    </xf>
    <xf numFmtId="185" fontId="7" fillId="0" borderId="75" xfId="2" applyNumberFormat="1" applyFont="1" applyFill="1" applyBorder="1" applyAlignment="1" applyProtection="1">
      <alignment horizontal="right" shrinkToFit="1"/>
    </xf>
    <xf numFmtId="0" fontId="0" fillId="5" borderId="0" xfId="0" applyFill="1" applyAlignment="1" applyProtection="1">
      <alignment shrinkToFit="1"/>
    </xf>
    <xf numFmtId="49" fontId="4" fillId="6" borderId="69" xfId="0" applyNumberFormat="1" applyFont="1" applyFill="1" applyBorder="1" applyAlignment="1" applyProtection="1">
      <alignment horizontal="center" shrinkToFit="1"/>
    </xf>
    <xf numFmtId="49" fontId="4" fillId="6" borderId="70" xfId="0" applyNumberFormat="1" applyFont="1" applyFill="1" applyBorder="1" applyAlignment="1" applyProtection="1">
      <alignment horizontal="center" shrinkToFit="1"/>
    </xf>
    <xf numFmtId="0" fontId="2" fillId="6" borderId="70" xfId="0" applyFont="1" applyFill="1" applyBorder="1" applyAlignment="1" applyProtection="1">
      <alignment horizontal="right" shrinkToFit="1"/>
    </xf>
    <xf numFmtId="0" fontId="35" fillId="6" borderId="70" xfId="0" applyFont="1" applyFill="1" applyBorder="1" applyAlignment="1" applyProtection="1">
      <alignment horizontal="center"/>
    </xf>
    <xf numFmtId="179" fontId="2" fillId="6" borderId="70" xfId="0" applyNumberFormat="1" applyFont="1" applyFill="1" applyBorder="1" applyAlignment="1" applyProtection="1">
      <alignment horizontal="right" shrinkToFit="1"/>
    </xf>
    <xf numFmtId="177" fontId="2" fillId="6" borderId="71" xfId="0" applyNumberFormat="1" applyFont="1" applyFill="1" applyBorder="1" applyAlignment="1" applyProtection="1">
      <alignment horizontal="right" shrinkToFit="1"/>
    </xf>
    <xf numFmtId="185" fontId="7" fillId="5" borderId="3" xfId="2" applyNumberFormat="1" applyFont="1" applyFill="1" applyBorder="1" applyAlignment="1" applyProtection="1">
      <alignment horizontal="right" shrinkToFit="1"/>
    </xf>
    <xf numFmtId="0" fontId="2" fillId="0" borderId="71" xfId="0" applyFont="1" applyFill="1" applyBorder="1" applyAlignment="1" applyProtection="1">
      <alignment horizontal="left" wrapText="1"/>
    </xf>
    <xf numFmtId="49" fontId="4" fillId="0" borderId="0" xfId="0" applyNumberFormat="1" applyFont="1" applyFill="1" applyBorder="1" applyAlignment="1" applyProtection="1">
      <alignment shrinkToFit="1"/>
    </xf>
    <xf numFmtId="49" fontId="7" fillId="0" borderId="0" xfId="0" applyNumberFormat="1" applyFont="1" applyFill="1" applyBorder="1" applyAlignment="1" applyProtection="1">
      <alignment horizontal="left"/>
    </xf>
    <xf numFmtId="0" fontId="0" fillId="0" borderId="0" xfId="0" applyFill="1" applyBorder="1" applyAlignment="1" applyProtection="1">
      <alignment horizontal="center"/>
    </xf>
    <xf numFmtId="0" fontId="9" fillId="0" borderId="0" xfId="0" applyFont="1" applyAlignment="1" applyProtection="1"/>
    <xf numFmtId="0" fontId="9" fillId="0" borderId="0" xfId="0" applyFont="1" applyFill="1" applyBorder="1" applyAlignment="1" applyProtection="1">
      <alignment horizontal="left"/>
    </xf>
    <xf numFmtId="0" fontId="2" fillId="0" borderId="0" xfId="0" applyFont="1" applyFill="1" applyBorder="1" applyAlignment="1" applyProtection="1">
      <alignment horizontal="center" shrinkToFit="1"/>
    </xf>
    <xf numFmtId="0" fontId="9" fillId="0" borderId="0" xfId="0" applyFont="1" applyFill="1" applyAlignment="1" applyProtection="1">
      <alignment horizontal="right" shrinkToFit="1"/>
    </xf>
    <xf numFmtId="0" fontId="0" fillId="0" borderId="0" xfId="0" applyFill="1" applyAlignment="1" applyProtection="1">
      <alignment horizontal="center" shrinkToFit="1"/>
    </xf>
    <xf numFmtId="176" fontId="2" fillId="5" borderId="82" xfId="0" applyNumberFormat="1" applyFont="1" applyFill="1" applyBorder="1" applyAlignment="1" applyProtection="1">
      <alignment vertical="center"/>
    </xf>
    <xf numFmtId="176" fontId="2" fillId="5" borderId="47" xfId="0" applyNumberFormat="1" applyFont="1" applyFill="1" applyBorder="1" applyAlignment="1" applyProtection="1">
      <alignment vertical="center"/>
    </xf>
    <xf numFmtId="176" fontId="2" fillId="5" borderId="83" xfId="0" applyNumberFormat="1" applyFont="1" applyFill="1" applyBorder="1" applyAlignment="1" applyProtection="1">
      <alignment vertical="center"/>
    </xf>
    <xf numFmtId="176" fontId="7" fillId="5" borderId="82" xfId="0" applyNumberFormat="1" applyFont="1" applyFill="1" applyBorder="1" applyAlignment="1" applyProtection="1">
      <alignment vertical="center"/>
    </xf>
    <xf numFmtId="176" fontId="7" fillId="5" borderId="47" xfId="0" applyNumberFormat="1" applyFont="1" applyFill="1" applyBorder="1" applyAlignment="1" applyProtection="1">
      <alignment vertical="center"/>
    </xf>
    <xf numFmtId="176" fontId="7" fillId="5" borderId="84" xfId="0" applyNumberFormat="1" applyFont="1" applyFill="1" applyBorder="1" applyAlignment="1" applyProtection="1">
      <alignment vertical="center"/>
    </xf>
    <xf numFmtId="176" fontId="7" fillId="5" borderId="85" xfId="0" applyNumberFormat="1" applyFont="1" applyFill="1" applyBorder="1" applyAlignment="1" applyProtection="1">
      <alignment vertical="center"/>
    </xf>
    <xf numFmtId="181" fontId="7" fillId="0" borderId="0" xfId="2" applyNumberFormat="1" applyFont="1" applyFill="1" applyBorder="1" applyAlignment="1" applyProtection="1"/>
    <xf numFmtId="179" fontId="2" fillId="0" borderId="0" xfId="0" applyNumberFormat="1" applyFont="1" applyAlignment="1" applyProtection="1">
      <alignment shrinkToFit="1"/>
    </xf>
    <xf numFmtId="181" fontId="2" fillId="0" borderId="0" xfId="0" applyNumberFormat="1" applyFont="1" applyAlignment="1" applyProtection="1">
      <alignment shrinkToFit="1"/>
    </xf>
    <xf numFmtId="181" fontId="7" fillId="5" borderId="86" xfId="0" applyNumberFormat="1" applyFont="1" applyFill="1" applyBorder="1" applyAlignment="1" applyProtection="1">
      <alignment vertical="center"/>
    </xf>
    <xf numFmtId="179" fontId="2" fillId="0" borderId="0" xfId="0" applyNumberFormat="1" applyFont="1" applyFill="1" applyAlignment="1" applyProtection="1">
      <alignment shrinkToFit="1"/>
    </xf>
    <xf numFmtId="181" fontId="2" fillId="0" borderId="0" xfId="0" applyNumberFormat="1" applyFont="1" applyFill="1" applyAlignment="1" applyProtection="1">
      <alignment shrinkToFit="1"/>
    </xf>
    <xf numFmtId="181" fontId="7" fillId="5" borderId="82" xfId="0" applyNumberFormat="1" applyFont="1" applyFill="1" applyBorder="1" applyAlignment="1" applyProtection="1">
      <alignment vertical="center"/>
    </xf>
    <xf numFmtId="181" fontId="7" fillId="5" borderId="47" xfId="0" applyNumberFormat="1" applyFont="1" applyFill="1" applyBorder="1" applyAlignment="1" applyProtection="1">
      <alignment vertical="center"/>
    </xf>
    <xf numFmtId="181" fontId="7" fillId="5" borderId="84" xfId="0" applyNumberFormat="1" applyFont="1" applyFill="1" applyBorder="1" applyAlignment="1" applyProtection="1">
      <alignment vertical="center"/>
    </xf>
    <xf numFmtId="181" fontId="7" fillId="5" borderId="85" xfId="0" applyNumberFormat="1" applyFont="1" applyFill="1" applyBorder="1" applyAlignment="1" applyProtection="1">
      <alignment vertical="center"/>
    </xf>
    <xf numFmtId="181" fontId="2" fillId="0" borderId="0" xfId="0" applyNumberFormat="1" applyFont="1" applyFill="1" applyBorder="1" applyAlignment="1" applyProtection="1">
      <alignment horizontal="right"/>
    </xf>
    <xf numFmtId="181" fontId="2" fillId="5" borderId="2" xfId="0" applyNumberFormat="1" applyFont="1" applyFill="1" applyBorder="1" applyAlignment="1" applyProtection="1">
      <alignment vertical="center"/>
    </xf>
    <xf numFmtId="181" fontId="2" fillId="5" borderId="3" xfId="0" applyNumberFormat="1" applyFont="1" applyFill="1" applyBorder="1" applyAlignment="1" applyProtection="1">
      <alignment vertical="center"/>
    </xf>
    <xf numFmtId="0" fontId="2" fillId="0" borderId="0" xfId="0" applyFont="1" applyAlignment="1" applyProtection="1">
      <alignment shrinkToFit="1"/>
    </xf>
    <xf numFmtId="49" fontId="38" fillId="5" borderId="87" xfId="0" applyNumberFormat="1" applyFont="1" applyFill="1" applyBorder="1" applyAlignment="1" applyProtection="1">
      <alignment horizontal="left" vertical="center"/>
    </xf>
    <xf numFmtId="0" fontId="7" fillId="5" borderId="88" xfId="0" applyFont="1" applyFill="1" applyBorder="1" applyAlignment="1" applyProtection="1">
      <alignment horizontal="center" vertical="center"/>
    </xf>
    <xf numFmtId="0" fontId="7" fillId="5" borderId="88" xfId="0" applyFont="1" applyFill="1" applyBorder="1" applyAlignment="1" applyProtection="1">
      <alignment horizontal="center" vertical="center" shrinkToFit="1"/>
    </xf>
    <xf numFmtId="40" fontId="7" fillId="5" borderId="89" xfId="2" applyNumberFormat="1" applyFont="1" applyFill="1" applyBorder="1" applyAlignment="1" applyProtection="1">
      <alignment horizontal="center" vertical="center"/>
    </xf>
    <xf numFmtId="0" fontId="7" fillId="5" borderId="90" xfId="0" applyFont="1" applyFill="1" applyBorder="1" applyAlignment="1" applyProtection="1">
      <alignment horizontal="center" vertical="center"/>
    </xf>
    <xf numFmtId="0" fontId="7" fillId="5" borderId="89" xfId="0" applyFont="1" applyFill="1" applyBorder="1" applyAlignment="1" applyProtection="1">
      <alignment horizontal="center" vertical="center"/>
    </xf>
    <xf numFmtId="49" fontId="2" fillId="0" borderId="91" xfId="0" applyNumberFormat="1" applyFont="1" applyFill="1" applyBorder="1" applyAlignment="1" applyProtection="1">
      <alignment horizontal="left"/>
      <protection locked="0"/>
    </xf>
    <xf numFmtId="0" fontId="2" fillId="0" borderId="92" xfId="0" applyFont="1" applyFill="1" applyBorder="1" applyAlignment="1" applyProtection="1">
      <alignment horizontal="left"/>
      <protection locked="0"/>
    </xf>
    <xf numFmtId="0" fontId="2" fillId="8" borderId="92" xfId="0" applyFont="1" applyFill="1" applyBorder="1" applyAlignment="1" applyProtection="1">
      <alignment horizontal="right" shrinkToFit="1"/>
      <protection locked="0"/>
    </xf>
    <xf numFmtId="0" fontId="2" fillId="8" borderId="93" xfId="2" applyNumberFormat="1" applyFont="1" applyFill="1" applyBorder="1" applyAlignment="1" applyProtection="1">
      <alignment horizontal="left" shrinkToFit="1"/>
      <protection locked="0"/>
    </xf>
    <xf numFmtId="179" fontId="2" fillId="8" borderId="94" xfId="2" applyNumberFormat="1" applyFont="1" applyFill="1" applyBorder="1" applyAlignment="1" applyProtection="1">
      <alignment horizontal="right" shrinkToFit="1"/>
      <protection locked="0"/>
    </xf>
    <xf numFmtId="177" fontId="2" fillId="8" borderId="93" xfId="1" applyNumberFormat="1" applyFont="1" applyFill="1" applyBorder="1" applyAlignment="1" applyProtection="1">
      <alignment horizontal="right" shrinkToFit="1"/>
      <protection locked="0"/>
    </xf>
    <xf numFmtId="182" fontId="2" fillId="8" borderId="93" xfId="0" applyNumberFormat="1" applyFont="1" applyFill="1" applyBorder="1" applyAlignment="1" applyProtection="1">
      <alignment horizontal="right" shrinkToFit="1"/>
      <protection locked="0"/>
    </xf>
    <xf numFmtId="49" fontId="2" fillId="0" borderId="43" xfId="0" applyNumberFormat="1" applyFont="1" applyFill="1" applyBorder="1" applyAlignment="1" applyProtection="1">
      <alignment horizontal="left"/>
      <protection locked="0"/>
    </xf>
    <xf numFmtId="0" fontId="2" fillId="0" borderId="95" xfId="0" applyFont="1" applyFill="1" applyBorder="1" applyAlignment="1" applyProtection="1">
      <alignment horizontal="left"/>
      <protection locked="0"/>
    </xf>
    <xf numFmtId="0" fontId="2" fillId="8" borderId="95" xfId="0" applyFont="1" applyFill="1" applyBorder="1" applyAlignment="1" applyProtection="1">
      <alignment horizontal="right" shrinkToFit="1"/>
      <protection locked="0"/>
    </xf>
    <xf numFmtId="0" fontId="2" fillId="8" borderId="44" xfId="2" applyNumberFormat="1" applyFont="1" applyFill="1" applyBorder="1" applyAlignment="1" applyProtection="1">
      <alignment horizontal="left" shrinkToFit="1"/>
      <protection locked="0"/>
    </xf>
    <xf numFmtId="179" fontId="2" fillId="8" borderId="45" xfId="2" applyNumberFormat="1" applyFont="1" applyFill="1" applyBorder="1" applyAlignment="1" applyProtection="1">
      <alignment horizontal="right" shrinkToFit="1"/>
      <protection locked="0"/>
    </xf>
    <xf numFmtId="177" fontId="2" fillId="8" borderId="44" xfId="1" applyNumberFormat="1" applyFont="1" applyFill="1" applyBorder="1" applyAlignment="1" applyProtection="1">
      <alignment horizontal="right" shrinkToFit="1"/>
      <protection locked="0"/>
    </xf>
    <xf numFmtId="182" fontId="2" fillId="8" borderId="44" xfId="0" applyNumberFormat="1" applyFont="1" applyFill="1" applyBorder="1" applyAlignment="1" applyProtection="1">
      <alignment horizontal="right" shrinkToFit="1"/>
      <protection locked="0"/>
    </xf>
    <xf numFmtId="49" fontId="2" fillId="0" borderId="96" xfId="0" applyNumberFormat="1" applyFont="1" applyFill="1" applyBorder="1" applyAlignment="1" applyProtection="1">
      <alignment horizontal="left"/>
      <protection locked="0"/>
    </xf>
    <xf numFmtId="0" fontId="2" fillId="0" borderId="97" xfId="0" applyFont="1" applyFill="1" applyBorder="1" applyAlignment="1" applyProtection="1">
      <alignment horizontal="left"/>
      <protection locked="0"/>
    </xf>
    <xf numFmtId="0" fontId="2" fillId="8" borderId="97" xfId="0" applyFont="1" applyFill="1" applyBorder="1" applyAlignment="1" applyProtection="1">
      <alignment horizontal="right" shrinkToFit="1"/>
      <protection locked="0"/>
    </xf>
    <xf numFmtId="0" fontId="2" fillId="8" borderId="98" xfId="2" applyNumberFormat="1" applyFont="1" applyFill="1" applyBorder="1" applyAlignment="1" applyProtection="1">
      <alignment horizontal="left" shrinkToFit="1"/>
      <protection locked="0"/>
    </xf>
    <xf numFmtId="179" fontId="2" fillId="8" borderId="99" xfId="2" applyNumberFormat="1" applyFont="1" applyFill="1" applyBorder="1" applyAlignment="1" applyProtection="1">
      <alignment horizontal="right" shrinkToFit="1"/>
      <protection locked="0"/>
    </xf>
    <xf numFmtId="177" fontId="2" fillId="8" borderId="98" xfId="1" applyNumberFormat="1" applyFont="1" applyFill="1" applyBorder="1" applyAlignment="1" applyProtection="1">
      <alignment horizontal="right" shrinkToFit="1"/>
      <protection locked="0"/>
    </xf>
    <xf numFmtId="182" fontId="2" fillId="8" borderId="98" xfId="0" applyNumberFormat="1" applyFont="1" applyFill="1" applyBorder="1" applyAlignment="1" applyProtection="1">
      <alignment horizontal="right" shrinkToFit="1"/>
      <protection locked="0"/>
    </xf>
    <xf numFmtId="0" fontId="43" fillId="0" borderId="0" xfId="0" applyFont="1" applyBorder="1" applyAlignment="1" applyProtection="1">
      <alignment shrinkToFit="1"/>
    </xf>
    <xf numFmtId="0" fontId="5" fillId="0" borderId="0" xfId="0" applyFont="1" applyBorder="1" applyAlignment="1" applyProtection="1"/>
    <xf numFmtId="49" fontId="5" fillId="0" borderId="0" xfId="2" applyNumberFormat="1" applyFont="1" applyBorder="1" applyAlignment="1" applyProtection="1"/>
    <xf numFmtId="0" fontId="5" fillId="0" borderId="0" xfId="0" applyFont="1" applyBorder="1" applyAlignment="1" applyProtection="1">
      <alignment horizontal="right"/>
    </xf>
    <xf numFmtId="0" fontId="2" fillId="0" borderId="86" xfId="0" applyNumberFormat="1" applyFont="1" applyBorder="1" applyAlignment="1" applyProtection="1">
      <alignment horizontal="right"/>
    </xf>
    <xf numFmtId="189" fontId="0" fillId="5" borderId="100" xfId="0" applyNumberFormat="1" applyFill="1" applyBorder="1"/>
    <xf numFmtId="189" fontId="0" fillId="5" borderId="101" xfId="0" applyNumberFormat="1" applyFill="1" applyBorder="1"/>
    <xf numFmtId="189" fontId="0" fillId="6" borderId="19" xfId="0" applyNumberFormat="1" applyFill="1" applyBorder="1"/>
    <xf numFmtId="189" fontId="0" fillId="6" borderId="102" xfId="0" applyNumberFormat="1" applyFill="1" applyBorder="1"/>
    <xf numFmtId="189" fontId="7" fillId="5" borderId="21" xfId="0" applyNumberFormat="1" applyFont="1" applyFill="1" applyBorder="1" applyAlignment="1">
      <alignment horizontal="center"/>
    </xf>
    <xf numFmtId="189" fontId="7" fillId="5" borderId="103" xfId="0" applyNumberFormat="1" applyFont="1" applyFill="1" applyBorder="1" applyAlignment="1">
      <alignment horizontal="center"/>
    </xf>
    <xf numFmtId="189" fontId="0" fillId="5" borderId="16" xfId="0" applyNumberFormat="1" applyFill="1" applyBorder="1" applyAlignment="1">
      <alignment horizontal="right"/>
    </xf>
    <xf numFmtId="189" fontId="0" fillId="5" borderId="17" xfId="0" applyNumberFormat="1" applyFill="1" applyBorder="1" applyAlignment="1">
      <alignment horizontal="right"/>
    </xf>
    <xf numFmtId="189" fontId="0" fillId="5" borderId="104" xfId="0" applyNumberFormat="1" applyFill="1" applyBorder="1" applyAlignment="1">
      <alignment horizontal="right"/>
    </xf>
    <xf numFmtId="189" fontId="0" fillId="6" borderId="23" xfId="0" applyNumberFormat="1" applyFill="1" applyBorder="1"/>
    <xf numFmtId="189" fontId="0" fillId="6" borderId="105" xfId="0" applyNumberFormat="1" applyFill="1" applyBorder="1"/>
    <xf numFmtId="31" fontId="0" fillId="8" borderId="27" xfId="0" applyNumberFormat="1" applyFill="1" applyBorder="1"/>
    <xf numFmtId="180" fontId="9" fillId="3" borderId="0" xfId="0" applyNumberFormat="1" applyFont="1" applyFill="1" applyAlignment="1">
      <alignment shrinkToFit="1"/>
    </xf>
    <xf numFmtId="0" fontId="7" fillId="0" borderId="0" xfId="0" applyFont="1" applyBorder="1" applyAlignment="1" applyProtection="1">
      <alignment shrinkToFit="1"/>
    </xf>
    <xf numFmtId="0" fontId="27" fillId="0" borderId="0" xfId="0" applyFont="1" applyBorder="1" applyAlignment="1" applyProtection="1">
      <alignment shrinkToFit="1"/>
    </xf>
    <xf numFmtId="0" fontId="1" fillId="0" borderId="0" xfId="0" applyFont="1" applyFill="1" applyAlignment="1" applyProtection="1">
      <alignment shrinkToFit="1"/>
    </xf>
    <xf numFmtId="0" fontId="1" fillId="0" borderId="0" xfId="0" applyFont="1" applyFill="1" applyBorder="1" applyAlignment="1" applyProtection="1">
      <alignment shrinkToFit="1"/>
    </xf>
    <xf numFmtId="0" fontId="27" fillId="0" borderId="0" xfId="0" applyFont="1" applyFill="1" applyBorder="1" applyAlignment="1" applyProtection="1">
      <alignment horizontal="left" wrapText="1"/>
    </xf>
    <xf numFmtId="0" fontId="27" fillId="8" borderId="27" xfId="0" applyFont="1" applyFill="1" applyBorder="1" applyAlignment="1" applyProtection="1">
      <alignment horizontal="left" shrinkToFit="1"/>
      <protection locked="0"/>
    </xf>
    <xf numFmtId="0" fontId="1" fillId="0" borderId="0" xfId="0" applyFont="1" applyFill="1" applyBorder="1" applyAlignment="1" applyProtection="1">
      <alignment horizontal="left"/>
    </xf>
    <xf numFmtId="14" fontId="11" fillId="5" borderId="4" xfId="0" applyNumberFormat="1" applyFont="1" applyFill="1" applyBorder="1" applyAlignment="1" applyProtection="1">
      <alignment horizontal="left"/>
    </xf>
    <xf numFmtId="0" fontId="1" fillId="0" borderId="0" xfId="0" applyFont="1" applyBorder="1" applyAlignment="1" applyProtection="1"/>
    <xf numFmtId="0" fontId="1" fillId="0" borderId="0" xfId="0" applyFont="1" applyAlignment="1" applyProtection="1">
      <alignment shrinkToFit="1"/>
    </xf>
    <xf numFmtId="0" fontId="1" fillId="5" borderId="82" xfId="0" applyFont="1" applyFill="1" applyBorder="1" applyAlignment="1" applyProtection="1">
      <alignment shrinkToFit="1"/>
    </xf>
    <xf numFmtId="0" fontId="1" fillId="5" borderId="47" xfId="0" applyFont="1" applyFill="1" applyBorder="1" applyAlignment="1" applyProtection="1">
      <alignment shrinkToFit="1"/>
    </xf>
    <xf numFmtId="0" fontId="1" fillId="5" borderId="83" xfId="0" applyFont="1" applyFill="1" applyBorder="1" applyAlignment="1" applyProtection="1">
      <alignment shrinkToFit="1"/>
    </xf>
    <xf numFmtId="0" fontId="32" fillId="3" borderId="0" xfId="0" applyFont="1" applyFill="1"/>
    <xf numFmtId="0" fontId="32" fillId="3" borderId="0" xfId="0" applyFont="1" applyFill="1" applyAlignment="1">
      <alignment horizontal="left"/>
    </xf>
    <xf numFmtId="0" fontId="1" fillId="3" borderId="0" xfId="0" applyFont="1" applyFill="1"/>
    <xf numFmtId="0" fontId="44" fillId="0" borderId="1" xfId="3" applyFont="1" applyFill="1" applyBorder="1" applyAlignment="1"/>
    <xf numFmtId="0" fontId="45" fillId="0" borderId="1" xfId="3" applyFont="1" applyFill="1" applyBorder="1" applyAlignment="1"/>
    <xf numFmtId="0" fontId="1" fillId="5" borderId="106" xfId="0" applyFont="1" applyFill="1" applyBorder="1" applyAlignment="1" applyProtection="1">
      <alignment horizontal="left" shrinkToFit="1"/>
    </xf>
    <xf numFmtId="0" fontId="1" fillId="5" borderId="107" xfId="0" applyFont="1" applyFill="1" applyBorder="1" applyAlignment="1" applyProtection="1">
      <alignment horizontal="left" shrinkToFit="1"/>
    </xf>
    <xf numFmtId="0" fontId="1" fillId="5" borderId="45" xfId="0" applyFont="1" applyFill="1" applyBorder="1" applyAlignment="1" applyProtection="1">
      <alignment horizontal="left" shrinkToFit="1"/>
    </xf>
    <xf numFmtId="0" fontId="1" fillId="5" borderId="48" xfId="0" applyFont="1" applyFill="1" applyBorder="1" applyAlignment="1" applyProtection="1">
      <alignment horizontal="left" shrinkToFit="1"/>
    </xf>
    <xf numFmtId="0" fontId="1" fillId="5" borderId="45" xfId="0" applyFont="1" applyFill="1" applyBorder="1" applyAlignment="1" applyProtection="1">
      <alignment horizontal="left" shrinkToFit="1"/>
      <protection locked="0"/>
    </xf>
    <xf numFmtId="0" fontId="1" fillId="5" borderId="48" xfId="0" applyFont="1" applyFill="1" applyBorder="1" applyAlignment="1" applyProtection="1">
      <alignment horizontal="left" shrinkToFit="1"/>
      <protection locked="0"/>
    </xf>
    <xf numFmtId="0" fontId="1" fillId="0" borderId="45" xfId="0" applyFont="1" applyFill="1" applyBorder="1" applyAlignment="1" applyProtection="1">
      <alignment horizontal="left" shrinkToFit="1"/>
      <protection locked="0"/>
    </xf>
    <xf numFmtId="0" fontId="1" fillId="0" borderId="48" xfId="0" applyFont="1" applyFill="1" applyBorder="1" applyAlignment="1" applyProtection="1">
      <alignment horizontal="left" shrinkToFit="1"/>
      <protection locked="0"/>
    </xf>
    <xf numFmtId="178" fontId="1" fillId="0" borderId="45" xfId="0" applyNumberFormat="1" applyFont="1" applyFill="1" applyBorder="1" applyAlignment="1" applyProtection="1">
      <alignment horizontal="left" shrinkToFit="1"/>
      <protection locked="0"/>
    </xf>
    <xf numFmtId="178" fontId="1" fillId="0" borderId="48" xfId="0" applyNumberFormat="1" applyFont="1" applyFill="1" applyBorder="1" applyAlignment="1" applyProtection="1">
      <alignment horizontal="left" shrinkToFit="1"/>
      <protection locked="0"/>
    </xf>
    <xf numFmtId="0" fontId="1" fillId="0" borderId="45" xfId="0" applyNumberFormat="1" applyFont="1" applyFill="1" applyBorder="1" applyAlignment="1" applyProtection="1">
      <alignment horizontal="left" shrinkToFit="1"/>
      <protection locked="0"/>
    </xf>
    <xf numFmtId="183" fontId="1" fillId="0" borderId="45" xfId="0" applyNumberFormat="1" applyFont="1" applyFill="1" applyBorder="1" applyAlignment="1" applyProtection="1">
      <alignment horizontal="left" shrinkToFit="1"/>
      <protection locked="0"/>
    </xf>
    <xf numFmtId="183" fontId="1" fillId="0" borderId="48" xfId="0" applyNumberFormat="1" applyFont="1" applyFill="1" applyBorder="1" applyAlignment="1" applyProtection="1">
      <alignment horizontal="left" shrinkToFit="1"/>
      <protection locked="0"/>
    </xf>
    <xf numFmtId="183" fontId="1" fillId="0" borderId="99" xfId="0" applyNumberFormat="1" applyFont="1" applyFill="1" applyBorder="1" applyAlignment="1" applyProtection="1">
      <alignment horizontal="left" shrinkToFit="1"/>
      <protection locked="0"/>
    </xf>
    <xf numFmtId="183" fontId="1" fillId="0" borderId="108" xfId="0" applyNumberFormat="1" applyFont="1" applyFill="1" applyBorder="1" applyAlignment="1" applyProtection="1">
      <alignment horizontal="left" shrinkToFit="1"/>
      <protection locked="0"/>
    </xf>
    <xf numFmtId="49" fontId="27" fillId="0" borderId="27" xfId="0" applyNumberFormat="1" applyFont="1" applyFill="1" applyBorder="1" applyAlignment="1" applyProtection="1">
      <alignment horizontal="left"/>
      <protection locked="0"/>
    </xf>
    <xf numFmtId="49" fontId="27" fillId="0" borderId="27" xfId="0" applyNumberFormat="1" applyFont="1" applyFill="1" applyBorder="1" applyAlignment="1" applyProtection="1">
      <alignment horizontal="left" shrinkToFit="1"/>
      <protection locked="0"/>
    </xf>
    <xf numFmtId="0" fontId="0" fillId="5" borderId="16" xfId="0" applyNumberFormat="1" applyFill="1" applyBorder="1"/>
    <xf numFmtId="0" fontId="0" fillId="5" borderId="17" xfId="0" applyNumberFormat="1" applyFill="1" applyBorder="1"/>
    <xf numFmtId="0" fontId="0" fillId="5" borderId="109" xfId="0" applyNumberFormat="1" applyFill="1" applyBorder="1"/>
    <xf numFmtId="0" fontId="0" fillId="5" borderId="110" xfId="0" applyNumberFormat="1" applyFill="1" applyBorder="1"/>
    <xf numFmtId="0" fontId="1" fillId="5" borderId="99" xfId="0" applyFont="1" applyFill="1" applyBorder="1" applyAlignment="1" applyProtection="1">
      <alignment horizontal="left" shrinkToFit="1"/>
    </xf>
    <xf numFmtId="0" fontId="1" fillId="5" borderId="108" xfId="0" applyFont="1" applyFill="1" applyBorder="1" applyAlignment="1" applyProtection="1">
      <alignment horizontal="left" shrinkToFit="1"/>
    </xf>
    <xf numFmtId="185" fontId="7" fillId="0" borderId="53" xfId="2" applyNumberFormat="1" applyFont="1" applyFill="1" applyBorder="1" applyAlignment="1" applyProtection="1">
      <alignment horizontal="right" shrinkToFit="1"/>
    </xf>
    <xf numFmtId="184" fontId="1" fillId="0" borderId="48" xfId="0" applyNumberFormat="1" applyFont="1" applyFill="1" applyBorder="1" applyAlignment="1" applyProtection="1">
      <alignment horizontal="left" shrinkToFit="1"/>
      <protection locked="0"/>
    </xf>
    <xf numFmtId="55" fontId="0" fillId="5" borderId="111" xfId="0" applyNumberFormat="1" applyFill="1" applyBorder="1" applyAlignment="1">
      <alignment horizontal="center"/>
    </xf>
    <xf numFmtId="55" fontId="0" fillId="5" borderId="112" xfId="0" applyNumberFormat="1" applyFill="1" applyBorder="1" applyAlignment="1">
      <alignment horizontal="center"/>
    </xf>
    <xf numFmtId="190" fontId="0" fillId="5" borderId="1" xfId="0" applyNumberFormat="1" applyFill="1" applyBorder="1" applyAlignment="1">
      <alignment horizontal="right"/>
    </xf>
    <xf numFmtId="190" fontId="0" fillId="5" borderId="113" xfId="0" applyNumberFormat="1" applyFill="1" applyBorder="1" applyAlignment="1">
      <alignment horizontal="right"/>
    </xf>
    <xf numFmtId="55" fontId="0" fillId="5" borderId="3" xfId="0" applyNumberFormat="1" applyFill="1" applyBorder="1" applyAlignment="1">
      <alignment horizontal="right"/>
    </xf>
    <xf numFmtId="55" fontId="0" fillId="5" borderId="114" xfId="0" applyNumberFormat="1" applyFill="1" applyBorder="1" applyAlignment="1">
      <alignment horizontal="right"/>
    </xf>
    <xf numFmtId="55" fontId="0" fillId="5" borderId="115" xfId="0" applyNumberFormat="1" applyFill="1" applyBorder="1" applyAlignment="1">
      <alignment horizontal="right"/>
    </xf>
    <xf numFmtId="181" fontId="2" fillId="0" borderId="0" xfId="0" applyNumberFormat="1" applyFont="1" applyFill="1" applyBorder="1" applyAlignment="1" applyProtection="1">
      <alignment vertical="center"/>
    </xf>
    <xf numFmtId="10" fontId="27" fillId="0" borderId="0" xfId="1" applyNumberFormat="1" applyFont="1" applyFill="1" applyBorder="1" applyAlignment="1" applyProtection="1">
      <alignment horizontal="right" vertical="center" shrinkToFit="1"/>
    </xf>
    <xf numFmtId="179" fontId="27" fillId="5" borderId="116" xfId="0" applyNumberFormat="1" applyFont="1" applyFill="1" applyBorder="1" applyAlignment="1" applyProtection="1">
      <alignment horizontal="right" vertical="center" shrinkToFit="1"/>
    </xf>
    <xf numFmtId="10" fontId="27" fillId="5" borderId="117" xfId="1" applyNumberFormat="1" applyFont="1" applyFill="1" applyBorder="1" applyAlignment="1" applyProtection="1">
      <alignment horizontal="right" vertical="center" shrinkToFit="1"/>
    </xf>
    <xf numFmtId="179" fontId="42" fillId="5" borderId="118" xfId="0" applyNumberFormat="1" applyFont="1" applyFill="1" applyBorder="1" applyAlignment="1" applyProtection="1">
      <alignment horizontal="right" vertical="center" shrinkToFit="1"/>
    </xf>
    <xf numFmtId="179" fontId="27" fillId="5" borderId="106" xfId="0" applyNumberFormat="1" applyFont="1" applyFill="1" applyBorder="1" applyAlignment="1" applyProtection="1">
      <alignment horizontal="right" vertical="center" shrinkToFit="1"/>
    </xf>
    <xf numFmtId="179" fontId="27" fillId="5" borderId="45" xfId="0" applyNumberFormat="1" applyFont="1" applyFill="1" applyBorder="1" applyAlignment="1" applyProtection="1">
      <alignment horizontal="right" vertical="center" shrinkToFit="1"/>
    </xf>
    <xf numFmtId="179" fontId="27" fillId="5" borderId="119" xfId="0" applyNumberFormat="1" applyFont="1" applyFill="1" applyBorder="1" applyAlignment="1" applyProtection="1">
      <alignment horizontal="right" vertical="center" shrinkToFit="1"/>
    </xf>
    <xf numFmtId="179" fontId="42" fillId="5" borderId="45" xfId="0" applyNumberFormat="1" applyFont="1" applyFill="1" applyBorder="1" applyAlignment="1" applyProtection="1">
      <alignment horizontal="right" vertical="center" shrinkToFit="1"/>
    </xf>
    <xf numFmtId="179" fontId="42" fillId="8" borderId="119" xfId="0" applyNumberFormat="1" applyFont="1" applyFill="1" applyBorder="1" applyAlignment="1" applyProtection="1">
      <alignment horizontal="right" vertical="center" shrinkToFit="1"/>
      <protection locked="0"/>
    </xf>
    <xf numFmtId="179" fontId="27" fillId="5" borderId="120" xfId="0" applyNumberFormat="1" applyFont="1" applyFill="1" applyBorder="1" applyAlignment="1" applyProtection="1">
      <alignment horizontal="right" vertical="center" shrinkToFit="1"/>
    </xf>
    <xf numFmtId="179" fontId="42" fillId="5" borderId="106" xfId="0" applyNumberFormat="1" applyFont="1" applyFill="1" applyBorder="1" applyAlignment="1" applyProtection="1">
      <alignment horizontal="right" vertical="center" shrinkToFit="1"/>
    </xf>
    <xf numFmtId="179" fontId="42" fillId="5" borderId="120" xfId="0" applyNumberFormat="1" applyFont="1" applyFill="1" applyBorder="1" applyAlignment="1" applyProtection="1">
      <alignment horizontal="right" vertical="center" shrinkToFit="1"/>
    </xf>
    <xf numFmtId="179" fontId="7" fillId="6" borderId="117" xfId="2" applyNumberFormat="1" applyFont="1" applyFill="1" applyBorder="1" applyAlignment="1" applyProtection="1">
      <alignment horizontal="right" shrinkToFit="1"/>
    </xf>
    <xf numFmtId="179" fontId="27" fillId="8" borderId="45" xfId="0" applyNumberFormat="1" applyFont="1" applyFill="1" applyBorder="1" applyAlignment="1" applyProtection="1">
      <alignment horizontal="right" vertical="center" shrinkToFit="1"/>
      <protection locked="0"/>
    </xf>
    <xf numFmtId="10" fontId="27" fillId="8" borderId="99" xfId="1" applyNumberFormat="1" applyFont="1" applyFill="1" applyBorder="1" applyAlignment="1" applyProtection="1">
      <alignment horizontal="right" vertical="center" shrinkToFit="1"/>
      <protection locked="0"/>
    </xf>
    <xf numFmtId="179" fontId="7" fillId="5" borderId="121" xfId="0" applyNumberFormat="1" applyFont="1" applyFill="1" applyBorder="1" applyAlignment="1" applyProtection="1">
      <alignment horizontal="right" shrinkToFit="1"/>
    </xf>
    <xf numFmtId="9" fontId="7" fillId="5" borderId="45" xfId="1" applyFont="1" applyFill="1" applyBorder="1" applyAlignment="1" applyProtection="1">
      <alignment horizontal="right" shrinkToFit="1"/>
    </xf>
    <xf numFmtId="179" fontId="7" fillId="6" borderId="122" xfId="2" applyNumberFormat="1" applyFont="1" applyFill="1" applyBorder="1" applyAlignment="1" applyProtection="1">
      <alignment horizontal="right" shrinkToFit="1"/>
    </xf>
    <xf numFmtId="9" fontId="7" fillId="5" borderId="51" xfId="1" applyFont="1" applyFill="1" applyBorder="1" applyAlignment="1" applyProtection="1">
      <alignment horizontal="right" shrinkToFit="1"/>
    </xf>
    <xf numFmtId="179" fontId="2" fillId="5" borderId="45" xfId="0" applyNumberFormat="1" applyFont="1" applyFill="1" applyBorder="1" applyAlignment="1" applyProtection="1">
      <alignment horizontal="right" shrinkToFit="1"/>
    </xf>
    <xf numFmtId="179" fontId="2" fillId="5" borderId="123" xfId="0" applyNumberFormat="1" applyFont="1" applyFill="1" applyBorder="1" applyAlignment="1" applyProtection="1">
      <alignment horizontal="right" shrinkToFit="1"/>
    </xf>
    <xf numFmtId="179" fontId="7" fillId="6" borderId="124" xfId="2" applyNumberFormat="1" applyFont="1" applyFill="1" applyBorder="1" applyAlignment="1" applyProtection="1">
      <alignment horizontal="right" shrinkToFit="1"/>
    </xf>
    <xf numFmtId="176" fontId="2" fillId="5" borderId="94" xfId="0" applyNumberFormat="1" applyFont="1" applyFill="1" applyBorder="1" applyAlignment="1" applyProtection="1">
      <alignment horizontal="right" vertical="center" shrinkToFit="1"/>
    </xf>
    <xf numFmtId="0" fontId="7" fillId="5" borderId="125" xfId="0" applyFont="1" applyFill="1" applyBorder="1" applyAlignment="1" applyProtection="1">
      <alignment horizontal="left" shrinkToFit="1"/>
    </xf>
    <xf numFmtId="0" fontId="7" fillId="5" borderId="126" xfId="0" applyFont="1" applyFill="1" applyBorder="1" applyAlignment="1" applyProtection="1">
      <alignment horizontal="center" vertical="top" shrinkToFit="1"/>
    </xf>
    <xf numFmtId="31" fontId="22" fillId="8" borderId="27" xfId="0" applyNumberFormat="1" applyFont="1" applyFill="1" applyBorder="1" applyAlignment="1" applyProtection="1">
      <alignment horizontal="left"/>
      <protection locked="0"/>
    </xf>
    <xf numFmtId="0" fontId="1" fillId="8" borderId="106" xfId="0" applyFont="1" applyFill="1" applyBorder="1" applyAlignment="1" applyProtection="1">
      <alignment horizontal="left" shrinkToFit="1"/>
      <protection locked="0"/>
    </xf>
    <xf numFmtId="0" fontId="1" fillId="8" borderId="107" xfId="0" applyFont="1" applyFill="1" applyBorder="1" applyAlignment="1" applyProtection="1">
      <alignment horizontal="left" shrinkToFit="1"/>
      <protection locked="0"/>
    </xf>
    <xf numFmtId="0" fontId="1" fillId="0" borderId="48" xfId="0" applyNumberFormat="1" applyFont="1" applyFill="1" applyBorder="1" applyAlignment="1" applyProtection="1">
      <alignment horizontal="left" shrinkToFit="1"/>
      <protection locked="0"/>
    </xf>
    <xf numFmtId="181" fontId="6" fillId="0" borderId="0" xfId="0" applyNumberFormat="1" applyFont="1" applyAlignment="1" applyProtection="1">
      <alignment shrinkToFit="1"/>
    </xf>
    <xf numFmtId="0" fontId="6" fillId="0" borderId="0" xfId="0" applyFont="1" applyAlignment="1" applyProtection="1">
      <alignment shrinkToFit="1"/>
    </xf>
    <xf numFmtId="179" fontId="42" fillId="5" borderId="57" xfId="0" applyNumberFormat="1" applyFont="1" applyFill="1" applyBorder="1" applyAlignment="1" applyProtection="1">
      <alignment horizontal="right" vertical="center" shrinkToFit="1"/>
    </xf>
    <xf numFmtId="179" fontId="42" fillId="5" borderId="127" xfId="0" applyNumberFormat="1" applyFont="1" applyFill="1" applyBorder="1" applyAlignment="1" applyProtection="1">
      <alignment horizontal="right" vertical="center" shrinkToFit="1"/>
    </xf>
    <xf numFmtId="179" fontId="27" fillId="5" borderId="127" xfId="0" applyNumberFormat="1" applyFont="1" applyFill="1" applyBorder="1" applyAlignment="1" applyProtection="1">
      <alignment horizontal="right" vertical="center" shrinkToFit="1"/>
    </xf>
    <xf numFmtId="9" fontId="7" fillId="5" borderId="122" xfId="1" applyFont="1" applyFill="1" applyBorder="1" applyAlignment="1" applyProtection="1">
      <alignment horizontal="right" shrinkToFit="1"/>
    </xf>
    <xf numFmtId="179" fontId="7" fillId="6" borderId="51" xfId="2" applyNumberFormat="1" applyFont="1" applyFill="1" applyBorder="1" applyAlignment="1" applyProtection="1">
      <alignment horizontal="right" shrinkToFit="1"/>
    </xf>
    <xf numFmtId="0" fontId="7" fillId="5" borderId="128" xfId="0" applyFont="1" applyFill="1" applyBorder="1" applyAlignment="1" applyProtection="1">
      <alignment horizontal="center" vertical="top" shrinkToFit="1"/>
    </xf>
    <xf numFmtId="179" fontId="27" fillId="5" borderId="129" xfId="0" applyNumberFormat="1" applyFont="1" applyFill="1" applyBorder="1" applyAlignment="1" applyProtection="1">
      <alignment horizontal="right" vertical="center" shrinkToFit="1"/>
    </xf>
    <xf numFmtId="179" fontId="27" fillId="8" borderId="130" xfId="0" applyNumberFormat="1" applyFont="1" applyFill="1" applyBorder="1" applyAlignment="1" applyProtection="1">
      <alignment horizontal="right" vertical="center" shrinkToFit="1"/>
      <protection locked="0"/>
    </xf>
    <xf numFmtId="10" fontId="27" fillId="8" borderId="131" xfId="1" applyNumberFormat="1" applyFont="1" applyFill="1" applyBorder="1" applyAlignment="1" applyProtection="1">
      <alignment horizontal="right" vertical="center" shrinkToFit="1"/>
      <protection locked="0"/>
    </xf>
    <xf numFmtId="179" fontId="42" fillId="5" borderId="129" xfId="0" applyNumberFormat="1" applyFont="1" applyFill="1" applyBorder="1" applyAlignment="1" applyProtection="1">
      <alignment horizontal="right" vertical="center" shrinkToFit="1"/>
    </xf>
    <xf numFmtId="179" fontId="42" fillId="5" borderId="130" xfId="0" applyNumberFormat="1" applyFont="1" applyFill="1" applyBorder="1" applyAlignment="1" applyProtection="1">
      <alignment horizontal="right" vertical="center" shrinkToFit="1"/>
    </xf>
    <xf numFmtId="179" fontId="42" fillId="8" borderId="132" xfId="0" applyNumberFormat="1" applyFont="1" applyFill="1" applyBorder="1" applyAlignment="1" applyProtection="1">
      <alignment horizontal="right" vertical="center" shrinkToFit="1"/>
      <protection locked="0"/>
    </xf>
    <xf numFmtId="179" fontId="42" fillId="5" borderId="133" xfId="0" applyNumberFormat="1" applyFont="1" applyFill="1" applyBorder="1" applyAlignment="1" applyProtection="1">
      <alignment horizontal="right" vertical="center" shrinkToFit="1"/>
    </xf>
    <xf numFmtId="179" fontId="42" fillId="5" borderId="28" xfId="0" applyNumberFormat="1" applyFont="1" applyFill="1" applyBorder="1" applyAlignment="1" applyProtection="1">
      <alignment horizontal="right" vertical="center" shrinkToFit="1"/>
    </xf>
    <xf numFmtId="179" fontId="27" fillId="5" borderId="130" xfId="0" applyNumberFormat="1" applyFont="1" applyFill="1" applyBorder="1" applyAlignment="1" applyProtection="1">
      <alignment horizontal="right" vertical="center" shrinkToFit="1"/>
    </xf>
    <xf numFmtId="179" fontId="27" fillId="5" borderId="132" xfId="0" applyNumberFormat="1" applyFont="1" applyFill="1" applyBorder="1" applyAlignment="1" applyProtection="1">
      <alignment horizontal="right" vertical="center" shrinkToFit="1"/>
    </xf>
    <xf numFmtId="179" fontId="27" fillId="5" borderId="133" xfId="0" applyNumberFormat="1" applyFont="1" applyFill="1" applyBorder="1" applyAlignment="1" applyProtection="1">
      <alignment horizontal="right" vertical="center" shrinkToFit="1"/>
    </xf>
    <xf numFmtId="179" fontId="27" fillId="5" borderId="134" xfId="0" applyNumberFormat="1" applyFont="1" applyFill="1" applyBorder="1" applyAlignment="1" applyProtection="1">
      <alignment horizontal="right" vertical="center" shrinkToFit="1"/>
    </xf>
    <xf numFmtId="10" fontId="27" fillId="5" borderId="135" xfId="1" applyNumberFormat="1" applyFont="1" applyFill="1" applyBorder="1" applyAlignment="1" applyProtection="1">
      <alignment horizontal="right" vertical="center" shrinkToFit="1"/>
    </xf>
    <xf numFmtId="179" fontId="42" fillId="5" borderId="136" xfId="0" applyNumberFormat="1" applyFont="1" applyFill="1" applyBorder="1" applyAlignment="1" applyProtection="1">
      <alignment horizontal="right" vertical="center" shrinkToFit="1"/>
    </xf>
    <xf numFmtId="179" fontId="42" fillId="5" borderId="137" xfId="0" applyNumberFormat="1" applyFont="1" applyFill="1" applyBorder="1" applyAlignment="1" applyProtection="1">
      <alignment horizontal="right" vertical="center" shrinkToFit="1"/>
    </xf>
    <xf numFmtId="179" fontId="27" fillId="5" borderId="137" xfId="0" applyNumberFormat="1" applyFont="1" applyFill="1" applyBorder="1" applyAlignment="1" applyProtection="1">
      <alignment horizontal="right" vertical="center" shrinkToFit="1"/>
    </xf>
    <xf numFmtId="0" fontId="7" fillId="5" borderId="134" xfId="0" applyFont="1" applyFill="1" applyBorder="1" applyAlignment="1" applyProtection="1">
      <alignment horizontal="left" shrinkToFit="1"/>
    </xf>
    <xf numFmtId="0" fontId="7" fillId="5" borderId="138" xfId="0" applyFont="1" applyFill="1" applyBorder="1" applyAlignment="1" applyProtection="1">
      <alignment horizontal="center" vertical="top" shrinkToFit="1"/>
    </xf>
    <xf numFmtId="176" fontId="2" fillId="5" borderId="139" xfId="0" applyNumberFormat="1" applyFont="1" applyFill="1" applyBorder="1" applyAlignment="1" applyProtection="1">
      <alignment horizontal="right" vertical="center" shrinkToFit="1"/>
    </xf>
    <xf numFmtId="179" fontId="2" fillId="5" borderId="130" xfId="0" applyNumberFormat="1" applyFont="1" applyFill="1" applyBorder="1" applyAlignment="1" applyProtection="1">
      <alignment horizontal="right" shrinkToFit="1"/>
    </xf>
    <xf numFmtId="179" fontId="7" fillId="6" borderId="140" xfId="2" applyNumberFormat="1" applyFont="1" applyFill="1" applyBorder="1" applyAlignment="1" applyProtection="1">
      <alignment horizontal="right" shrinkToFit="1"/>
    </xf>
    <xf numFmtId="179" fontId="2" fillId="5" borderId="141" xfId="0" applyNumberFormat="1" applyFont="1" applyFill="1" applyBorder="1" applyAlignment="1" applyProtection="1">
      <alignment horizontal="right" shrinkToFit="1"/>
    </xf>
    <xf numFmtId="179" fontId="7" fillId="6" borderId="142" xfId="2" applyNumberFormat="1" applyFont="1" applyFill="1" applyBorder="1" applyAlignment="1" applyProtection="1">
      <alignment horizontal="right" shrinkToFit="1"/>
    </xf>
    <xf numFmtId="179" fontId="7" fillId="5" borderId="143" xfId="0" applyNumberFormat="1" applyFont="1" applyFill="1" applyBorder="1" applyAlignment="1" applyProtection="1">
      <alignment horizontal="right" shrinkToFit="1"/>
    </xf>
    <xf numFmtId="9" fontId="7" fillId="5" borderId="130" xfId="1" applyFont="1" applyFill="1" applyBorder="1" applyAlignment="1" applyProtection="1">
      <alignment horizontal="right" shrinkToFit="1"/>
    </xf>
    <xf numFmtId="9" fontId="7" fillId="5" borderId="144" xfId="1" applyFont="1" applyFill="1" applyBorder="1" applyAlignment="1" applyProtection="1">
      <alignment horizontal="right" shrinkToFit="1"/>
    </xf>
    <xf numFmtId="179" fontId="7" fillId="6" borderId="135" xfId="2" applyNumberFormat="1" applyFont="1" applyFill="1" applyBorder="1" applyAlignment="1" applyProtection="1">
      <alignment horizontal="right" shrinkToFit="1"/>
    </xf>
    <xf numFmtId="0" fontId="7" fillId="5" borderId="145" xfId="0" applyFont="1" applyFill="1" applyBorder="1" applyAlignment="1" applyProtection="1">
      <alignment horizontal="center" vertical="top" shrinkToFit="1"/>
    </xf>
    <xf numFmtId="179" fontId="7" fillId="6" borderId="144" xfId="2" applyNumberFormat="1" applyFont="1" applyFill="1" applyBorder="1" applyAlignment="1" applyProtection="1">
      <alignment horizontal="right" shrinkToFit="1"/>
    </xf>
    <xf numFmtId="9" fontId="7" fillId="5" borderId="142" xfId="1" applyFont="1" applyFill="1" applyBorder="1" applyAlignment="1" applyProtection="1">
      <alignment horizontal="right" shrinkToFit="1"/>
    </xf>
    <xf numFmtId="0" fontId="7" fillId="5" borderId="146" xfId="0" applyFont="1" applyFill="1" applyBorder="1" applyAlignment="1" applyProtection="1">
      <alignment horizontal="center" vertical="center"/>
    </xf>
    <xf numFmtId="179" fontId="2" fillId="5" borderId="147" xfId="0" applyNumberFormat="1" applyFont="1" applyFill="1" applyBorder="1" applyAlignment="1" applyProtection="1">
      <alignment horizontal="right" shrinkToFit="1"/>
      <protection locked="0"/>
    </xf>
    <xf numFmtId="179" fontId="2" fillId="5" borderId="148" xfId="0" applyNumberFormat="1" applyFont="1" applyFill="1" applyBorder="1" applyAlignment="1" applyProtection="1">
      <alignment horizontal="right" shrinkToFit="1"/>
      <protection locked="0"/>
    </xf>
    <xf numFmtId="179" fontId="2" fillId="0" borderId="149" xfId="0" applyNumberFormat="1" applyFont="1" applyFill="1" applyBorder="1" applyAlignment="1" applyProtection="1">
      <alignment horizontal="right"/>
      <protection locked="0"/>
    </xf>
    <xf numFmtId="0" fontId="0" fillId="0" borderId="157" xfId="0" applyBorder="1" applyAlignment="1">
      <alignment horizontal="left" vertical="top" wrapText="1"/>
    </xf>
    <xf numFmtId="0" fontId="0" fillId="0" borderId="76" xfId="0" applyBorder="1" applyAlignment="1">
      <alignment horizontal="left" vertical="top" wrapText="1"/>
    </xf>
    <xf numFmtId="0" fontId="0" fillId="0" borderId="158" xfId="0" applyBorder="1" applyAlignment="1">
      <alignment horizontal="left" vertical="top" wrapText="1"/>
    </xf>
    <xf numFmtId="0" fontId="0" fillId="0" borderId="81" xfId="0" applyBorder="1" applyAlignment="1">
      <alignment horizontal="left" vertical="top" wrapText="1"/>
    </xf>
    <xf numFmtId="0" fontId="0" fillId="0" borderId="127" xfId="0" applyBorder="1" applyAlignment="1">
      <alignment horizontal="left" vertical="top" wrapText="1"/>
    </xf>
    <xf numFmtId="0" fontId="0" fillId="0" borderId="71" xfId="0" applyBorder="1" applyAlignment="1">
      <alignment horizontal="left" vertical="top" wrapText="1"/>
    </xf>
    <xf numFmtId="0" fontId="1" fillId="8" borderId="5" xfId="0" applyNumberFormat="1" applyFont="1" applyFill="1" applyBorder="1" applyAlignment="1" applyProtection="1">
      <alignment horizontal="left" vertical="top" wrapText="1"/>
      <protection locked="0"/>
    </xf>
    <xf numFmtId="0" fontId="1" fillId="8" borderId="6" xfId="0" applyNumberFormat="1" applyFont="1" applyFill="1" applyBorder="1" applyAlignment="1" applyProtection="1">
      <alignment horizontal="left" vertical="top" wrapText="1"/>
      <protection locked="0"/>
    </xf>
    <xf numFmtId="0" fontId="1" fillId="8" borderId="7" xfId="0" applyNumberFormat="1" applyFont="1" applyFill="1" applyBorder="1" applyAlignment="1" applyProtection="1">
      <alignment horizontal="left" vertical="top" wrapText="1"/>
      <protection locked="0"/>
    </xf>
    <xf numFmtId="0" fontId="1" fillId="8" borderId="150" xfId="0" applyNumberFormat="1" applyFont="1" applyFill="1" applyBorder="1" applyAlignment="1" applyProtection="1">
      <alignment horizontal="left" vertical="top" wrapText="1"/>
      <protection locked="0"/>
    </xf>
    <xf numFmtId="0" fontId="1" fillId="8" borderId="0" xfId="0" applyNumberFormat="1" applyFont="1" applyFill="1" applyBorder="1" applyAlignment="1" applyProtection="1">
      <alignment horizontal="left" vertical="top" wrapText="1"/>
      <protection locked="0"/>
    </xf>
    <xf numFmtId="0" fontId="1" fillId="8" borderId="81" xfId="0" applyNumberFormat="1" applyFont="1" applyFill="1" applyBorder="1" applyAlignment="1" applyProtection="1">
      <alignment horizontal="left" vertical="top" wrapText="1"/>
      <protection locked="0"/>
    </xf>
    <xf numFmtId="0" fontId="1" fillId="8" borderId="69" xfId="0" applyNumberFormat="1" applyFont="1" applyFill="1" applyBorder="1" applyAlignment="1" applyProtection="1">
      <alignment horizontal="left" vertical="top" wrapText="1"/>
      <protection locked="0"/>
    </xf>
    <xf numFmtId="0" fontId="1" fillId="8" borderId="70" xfId="0" applyNumberFormat="1" applyFont="1" applyFill="1" applyBorder="1" applyAlignment="1" applyProtection="1">
      <alignment horizontal="left" vertical="top" wrapText="1"/>
      <protection locked="0"/>
    </xf>
    <xf numFmtId="0" fontId="1" fillId="8" borderId="71" xfId="0" applyNumberFormat="1" applyFont="1" applyFill="1" applyBorder="1" applyAlignment="1" applyProtection="1">
      <alignment horizontal="left" vertical="top" wrapText="1"/>
      <protection locked="0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150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9" xfId="0" applyBorder="1" applyAlignment="1">
      <alignment horizontal="left" vertical="top" wrapText="1"/>
    </xf>
    <xf numFmtId="0" fontId="0" fillId="0" borderId="70" xfId="0" applyBorder="1" applyAlignment="1">
      <alignment horizontal="left" vertical="top" wrapText="1"/>
    </xf>
    <xf numFmtId="0" fontId="0" fillId="0" borderId="159" xfId="0" applyBorder="1" applyAlignment="1">
      <alignment horizontal="left" vertical="top" wrapText="1"/>
    </xf>
    <xf numFmtId="0" fontId="0" fillId="0" borderId="160" xfId="0" applyBorder="1" applyAlignment="1">
      <alignment horizontal="left" vertical="top" wrapText="1"/>
    </xf>
    <xf numFmtId="0" fontId="0" fillId="0" borderId="161" xfId="0" applyBorder="1" applyAlignment="1">
      <alignment horizontal="left" vertical="top" wrapText="1"/>
    </xf>
    <xf numFmtId="0" fontId="0" fillId="0" borderId="162" xfId="0" applyBorder="1" applyAlignment="1">
      <alignment horizontal="left" vertical="top" wrapText="1"/>
    </xf>
    <xf numFmtId="0" fontId="2" fillId="0" borderId="33" xfId="0" applyFont="1" applyFill="1" applyBorder="1" applyAlignment="1" applyProtection="1">
      <alignment horizontal="left" vertical="center" shrinkToFit="1"/>
    </xf>
    <xf numFmtId="0" fontId="1" fillId="0" borderId="151" xfId="0" applyFont="1" applyFill="1" applyBorder="1" applyAlignment="1" applyProtection="1">
      <alignment horizontal="left" vertical="center" shrinkToFit="1"/>
    </xf>
    <xf numFmtId="0" fontId="0" fillId="0" borderId="116" xfId="0" applyBorder="1" applyAlignment="1" applyProtection="1">
      <alignment horizontal="left" vertical="center" shrinkToFit="1"/>
    </xf>
    <xf numFmtId="0" fontId="0" fillId="0" borderId="151" xfId="0" applyBorder="1" applyAlignment="1" applyProtection="1">
      <alignment horizontal="left" vertical="center" shrinkToFit="1"/>
    </xf>
    <xf numFmtId="0" fontId="0" fillId="0" borderId="116" xfId="0" applyBorder="1" applyAlignment="1">
      <alignment horizontal="left" vertical="center" shrinkToFit="1"/>
    </xf>
    <xf numFmtId="0" fontId="0" fillId="0" borderId="152" xfId="0" applyBorder="1" applyAlignment="1">
      <alignment horizontal="left" vertical="center" shrinkToFit="1"/>
    </xf>
    <xf numFmtId="0" fontId="0" fillId="0" borderId="153" xfId="0" applyBorder="1" applyAlignment="1">
      <alignment horizontal="left" vertical="center" shrinkToFit="1"/>
    </xf>
    <xf numFmtId="0" fontId="0" fillId="0" borderId="154" xfId="0" applyBorder="1" applyAlignment="1">
      <alignment horizontal="left" vertical="center" shrinkToFit="1"/>
    </xf>
    <xf numFmtId="0" fontId="0" fillId="0" borderId="155" xfId="0" applyBorder="1" applyAlignment="1">
      <alignment horizontal="left" vertical="center" shrinkToFit="1"/>
    </xf>
    <xf numFmtId="0" fontId="0" fillId="0" borderId="156" xfId="0" applyBorder="1" applyAlignment="1">
      <alignment horizontal="left" vertical="center" shrinkToFit="1"/>
    </xf>
    <xf numFmtId="0" fontId="7" fillId="5" borderId="164" xfId="0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/>
    </xf>
    <xf numFmtId="0" fontId="7" fillId="5" borderId="128" xfId="0" applyFont="1" applyFill="1" applyBorder="1" applyAlignment="1">
      <alignment horizontal="center" vertical="top"/>
    </xf>
    <xf numFmtId="0" fontId="7" fillId="5" borderId="37" xfId="0" applyFont="1" applyFill="1" applyBorder="1" applyAlignment="1">
      <alignment horizontal="center" vertical="top"/>
    </xf>
    <xf numFmtId="0" fontId="7" fillId="5" borderId="165" xfId="0" applyFont="1" applyFill="1" applyBorder="1" applyAlignment="1">
      <alignment horizontal="center"/>
    </xf>
    <xf numFmtId="0" fontId="7" fillId="5" borderId="100" xfId="0" applyFont="1" applyFill="1" applyBorder="1" applyAlignment="1">
      <alignment horizontal="center"/>
    </xf>
    <xf numFmtId="0" fontId="0" fillId="3" borderId="163" xfId="0" applyFill="1" applyBorder="1"/>
    <xf numFmtId="0" fontId="0" fillId="3" borderId="110" xfId="0" applyFill="1" applyBorder="1"/>
    <xf numFmtId="0" fontId="7" fillId="6" borderId="19" xfId="0" applyFont="1" applyFill="1" applyBorder="1" applyAlignment="1">
      <alignment horizontal="center"/>
    </xf>
    <xf numFmtId="0" fontId="7" fillId="5" borderId="21" xfId="0" applyFont="1" applyFill="1" applyBorder="1" applyAlignment="1">
      <alignment horizontal="center"/>
    </xf>
    <xf numFmtId="0" fontId="0" fillId="3" borderId="163" xfId="0" applyFill="1" applyBorder="1" applyAlignment="1">
      <alignment horizontal="left"/>
    </xf>
    <xf numFmtId="0" fontId="0" fillId="3" borderId="110" xfId="0" applyFill="1" applyBorder="1" applyAlignment="1">
      <alignment horizontal="left"/>
    </xf>
    <xf numFmtId="0" fontId="7" fillId="6" borderId="23" xfId="0" applyFont="1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5" fillId="3" borderId="163" xfId="0" applyFont="1" applyFill="1" applyBorder="1" applyAlignment="1">
      <alignment horizontal="center"/>
    </xf>
    <xf numFmtId="0" fontId="5" fillId="3" borderId="170" xfId="0" applyFont="1" applyFill="1" applyBorder="1" applyAlignment="1">
      <alignment horizontal="center"/>
    </xf>
    <xf numFmtId="0" fontId="5" fillId="3" borderId="171" xfId="0" applyFont="1" applyFill="1" applyBorder="1" applyAlignment="1">
      <alignment horizontal="center"/>
    </xf>
    <xf numFmtId="0" fontId="5" fillId="3" borderId="172" xfId="0" applyFont="1" applyFill="1" applyBorder="1" applyAlignment="1">
      <alignment horizontal="center"/>
    </xf>
    <xf numFmtId="0" fontId="5" fillId="3" borderId="173" xfId="0" applyFont="1" applyFill="1" applyBorder="1" applyAlignment="1">
      <alignment horizontal="center"/>
    </xf>
    <xf numFmtId="0" fontId="5" fillId="3" borderId="174" xfId="0" applyFont="1" applyFill="1" applyBorder="1" applyAlignment="1">
      <alignment horizontal="center"/>
    </xf>
    <xf numFmtId="0" fontId="0" fillId="3" borderId="1" xfId="0" applyFill="1" applyBorder="1" applyAlignment="1"/>
    <xf numFmtId="0" fontId="5" fillId="3" borderId="1" xfId="0" applyFont="1" applyFill="1" applyBorder="1" applyAlignment="1">
      <alignment horizontal="center"/>
    </xf>
    <xf numFmtId="0" fontId="5" fillId="3" borderId="167" xfId="0" applyFont="1" applyFill="1" applyBorder="1" applyAlignment="1">
      <alignment horizontal="center"/>
    </xf>
    <xf numFmtId="0" fontId="5" fillId="3" borderId="168" xfId="0" applyFont="1" applyFill="1" applyBorder="1" applyAlignment="1">
      <alignment horizontal="center"/>
    </xf>
    <xf numFmtId="0" fontId="5" fillId="3" borderId="169" xfId="0" applyFont="1" applyFill="1" applyBorder="1" applyAlignment="1">
      <alignment horizontal="center"/>
    </xf>
    <xf numFmtId="0" fontId="0" fillId="3" borderId="155" xfId="0" applyFill="1" applyBorder="1" applyAlignment="1">
      <alignment horizontal="center"/>
    </xf>
    <xf numFmtId="0" fontId="0" fillId="3" borderId="166" xfId="0" applyFill="1" applyBorder="1" applyAlignment="1">
      <alignment horizontal="center"/>
    </xf>
    <xf numFmtId="0" fontId="0" fillId="3" borderId="154" xfId="0" applyFill="1" applyBorder="1" applyAlignment="1">
      <alignment horizontal="center"/>
    </xf>
    <xf numFmtId="0" fontId="0" fillId="3" borderId="167" xfId="0" applyFill="1" applyBorder="1" applyAlignment="1">
      <alignment horizontal="center"/>
    </xf>
    <xf numFmtId="0" fontId="0" fillId="3" borderId="168" xfId="0" applyFill="1" applyBorder="1" applyAlignment="1">
      <alignment horizontal="center"/>
    </xf>
    <xf numFmtId="0" fontId="0" fillId="3" borderId="169" xfId="0" applyFill="1" applyBorder="1" applyAlignment="1">
      <alignment horizontal="center"/>
    </xf>
    <xf numFmtId="0" fontId="0" fillId="3" borderId="163" xfId="0" applyFill="1" applyBorder="1" applyAlignment="1">
      <alignment horizontal="center"/>
    </xf>
    <xf numFmtId="0" fontId="0" fillId="3" borderId="170" xfId="0" applyFill="1" applyBorder="1" applyAlignment="1">
      <alignment horizontal="center"/>
    </xf>
    <xf numFmtId="0" fontId="0" fillId="3" borderId="171" xfId="0" applyFill="1" applyBorder="1" applyAlignment="1">
      <alignment horizontal="center"/>
    </xf>
    <xf numFmtId="0" fontId="0" fillId="3" borderId="172" xfId="0" applyFill="1" applyBorder="1" applyAlignment="1">
      <alignment horizontal="center"/>
    </xf>
    <xf numFmtId="0" fontId="0" fillId="3" borderId="173" xfId="0" applyFill="1" applyBorder="1" applyAlignment="1">
      <alignment horizontal="center"/>
    </xf>
    <xf numFmtId="0" fontId="0" fillId="3" borderId="174" xfId="0" applyFill="1" applyBorder="1" applyAlignment="1">
      <alignment horizontal="center"/>
    </xf>
    <xf numFmtId="176" fontId="0" fillId="5" borderId="139" xfId="0" applyNumberFormat="1" applyFont="1" applyFill="1" applyBorder="1" applyAlignment="1" applyProtection="1">
      <alignment horizontal="right" vertical="center" shrinkToFit="1"/>
    </xf>
  </cellXfs>
  <cellStyles count="5">
    <cellStyle name="パーセント" xfId="1" builtinId="5"/>
    <cellStyle name="桁区切り" xfId="2" builtinId="6"/>
    <cellStyle name="標準" xfId="0" builtinId="0"/>
    <cellStyle name="標準_サンプル説明書" xfId="3"/>
    <cellStyle name="未定義" xfId="4"/>
  </cellStyles>
  <dxfs count="4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5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12" Type="http://schemas.openxmlformats.org/officeDocument/2006/relationships/image" Target="../media/image6.emf"/><Relationship Id="rId17" Type="http://schemas.openxmlformats.org/officeDocument/2006/relationships/image" Target="../media/image1.emf"/><Relationship Id="rId2" Type="http://schemas.openxmlformats.org/officeDocument/2006/relationships/image" Target="../media/image16.emf"/><Relationship Id="rId16" Type="http://schemas.openxmlformats.org/officeDocument/2006/relationships/image" Target="../media/image2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11" Type="http://schemas.openxmlformats.org/officeDocument/2006/relationships/image" Target="../media/image7.emf"/><Relationship Id="rId5" Type="http://schemas.openxmlformats.org/officeDocument/2006/relationships/image" Target="../media/image13.emf"/><Relationship Id="rId15" Type="http://schemas.openxmlformats.org/officeDocument/2006/relationships/image" Target="../media/image3.emf"/><Relationship Id="rId10" Type="http://schemas.openxmlformats.org/officeDocument/2006/relationships/image" Target="../media/image8.emf"/><Relationship Id="rId4" Type="http://schemas.openxmlformats.org/officeDocument/2006/relationships/image" Target="../media/image14.emf"/><Relationship Id="rId9" Type="http://schemas.openxmlformats.org/officeDocument/2006/relationships/image" Target="../media/image9.emf"/><Relationship Id="rId1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0</xdr:row>
      <xdr:rowOff>0</xdr:rowOff>
    </xdr:from>
    <xdr:to>
      <xdr:col>7</xdr:col>
      <xdr:colOff>228600</xdr:colOff>
      <xdr:row>0</xdr:row>
      <xdr:rowOff>0</xdr:rowOff>
    </xdr:to>
    <xdr:sp macro="" textlink="">
      <xdr:nvSpPr>
        <xdr:cNvPr id="1025" name="Oval 1"/>
        <xdr:cNvSpPr>
          <a:spLocks noChangeArrowheads="1"/>
        </xdr:cNvSpPr>
      </xdr:nvSpPr>
      <xdr:spPr bwMode="auto">
        <a:xfrm>
          <a:off x="9315450" y="0"/>
          <a:ext cx="76200" cy="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7</xdr:col>
      <xdr:colOff>152400</xdr:colOff>
      <xdr:row>0</xdr:row>
      <xdr:rowOff>0</xdr:rowOff>
    </xdr:from>
    <xdr:to>
      <xdr:col>7</xdr:col>
      <xdr:colOff>228600</xdr:colOff>
      <xdr:row>0</xdr:row>
      <xdr:rowOff>0</xdr:rowOff>
    </xdr:to>
    <xdr:sp macro="" textlink="">
      <xdr:nvSpPr>
        <xdr:cNvPr id="1046" name="Oval 22"/>
        <xdr:cNvSpPr>
          <a:spLocks noChangeArrowheads="1"/>
        </xdr:cNvSpPr>
      </xdr:nvSpPr>
      <xdr:spPr bwMode="auto">
        <a:xfrm>
          <a:off x="9315450" y="0"/>
          <a:ext cx="76200" cy="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28575</xdr:rowOff>
    </xdr:from>
    <xdr:to>
      <xdr:col>6</xdr:col>
      <xdr:colOff>104775</xdr:colOff>
      <xdr:row>14</xdr:row>
      <xdr:rowOff>133350</xdr:rowOff>
    </xdr:to>
    <xdr:sp macro="" textlink="">
      <xdr:nvSpPr>
        <xdr:cNvPr id="14337" name="Rectangle 1"/>
        <xdr:cNvSpPr>
          <a:spLocks noChangeArrowheads="1"/>
        </xdr:cNvSpPr>
      </xdr:nvSpPr>
      <xdr:spPr bwMode="auto">
        <a:xfrm>
          <a:off x="714375" y="2057400"/>
          <a:ext cx="4019550" cy="0"/>
        </a:xfrm>
        <a:prstGeom prst="rect">
          <a:avLst/>
        </a:prstGeom>
        <a:solidFill>
          <a:srgbClr val="FFFF99"/>
        </a:solidFill>
        <a:ln w="19050">
          <a:solidFill>
            <a:srgbClr val="FF99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HGP創英角ｺﾞｼｯｸUB"/>
              <a:ea typeface="HGP創英角ｺﾞｼｯｸUB"/>
            </a:rPr>
            <a:t>（E-8)×100/茹卵歩留+その他原料＋資材＋経費＋１</a:t>
          </a:r>
        </a:p>
      </xdr:txBody>
    </xdr:sp>
    <xdr:clientData/>
  </xdr:twoCellAnchor>
  <xdr:twoCellAnchor>
    <xdr:from>
      <xdr:col>1</xdr:col>
      <xdr:colOff>28575</xdr:colOff>
      <xdr:row>22</xdr:row>
      <xdr:rowOff>28575</xdr:rowOff>
    </xdr:from>
    <xdr:to>
      <xdr:col>5</xdr:col>
      <xdr:colOff>200025</xdr:colOff>
      <xdr:row>23</xdr:row>
      <xdr:rowOff>133350</xdr:rowOff>
    </xdr:to>
    <xdr:sp macro="" textlink="">
      <xdr:nvSpPr>
        <xdr:cNvPr id="14338" name="Rectangle 2"/>
        <xdr:cNvSpPr>
          <a:spLocks noChangeArrowheads="1"/>
        </xdr:cNvSpPr>
      </xdr:nvSpPr>
      <xdr:spPr bwMode="auto">
        <a:xfrm>
          <a:off x="714375" y="2057400"/>
          <a:ext cx="3429000" cy="0"/>
        </a:xfrm>
        <a:prstGeom prst="rect">
          <a:avLst/>
        </a:prstGeom>
        <a:solidFill>
          <a:srgbClr val="FFFF99"/>
        </a:solidFill>
        <a:ln w="19050">
          <a:solidFill>
            <a:srgbClr val="FF99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HGP創英角ｺﾞｼｯｸUB"/>
              <a:ea typeface="HGP創英角ｺﾞｼｯｸUB"/>
            </a:rPr>
            <a:t>（E-8)×100/3分たまご歩留+資材＋経費＋１</a:t>
          </a:r>
        </a:p>
      </xdr:txBody>
    </xdr:sp>
    <xdr:clientData/>
  </xdr:twoCellAnchor>
  <xdr:twoCellAnchor>
    <xdr:from>
      <xdr:col>1</xdr:col>
      <xdr:colOff>28575</xdr:colOff>
      <xdr:row>31</xdr:row>
      <xdr:rowOff>28575</xdr:rowOff>
    </xdr:from>
    <xdr:to>
      <xdr:col>4</xdr:col>
      <xdr:colOff>523875</xdr:colOff>
      <xdr:row>32</xdr:row>
      <xdr:rowOff>133350</xdr:rowOff>
    </xdr:to>
    <xdr:sp macro="" textlink="">
      <xdr:nvSpPr>
        <xdr:cNvPr id="14339" name="Rectangle 3"/>
        <xdr:cNvSpPr>
          <a:spLocks noChangeArrowheads="1"/>
        </xdr:cNvSpPr>
      </xdr:nvSpPr>
      <xdr:spPr bwMode="auto">
        <a:xfrm>
          <a:off x="714375" y="2057400"/>
          <a:ext cx="2952750" cy="0"/>
        </a:xfrm>
        <a:prstGeom prst="rect">
          <a:avLst/>
        </a:prstGeom>
        <a:solidFill>
          <a:srgbClr val="FFFF99"/>
        </a:solidFill>
        <a:ln w="19050">
          <a:solidFill>
            <a:srgbClr val="FF99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HGP創英角ｺﾞｼｯｸUB"/>
              <a:ea typeface="HGP創英角ｺﾞｼｯｸUB"/>
            </a:rPr>
            <a:t>ＱＰの標準原価（試算結果）＋１円/KG</a:t>
          </a:r>
        </a:p>
      </xdr:txBody>
    </xdr:sp>
    <xdr:clientData/>
  </xdr:twoCellAnchor>
  <xdr:twoCellAnchor>
    <xdr:from>
      <xdr:col>1</xdr:col>
      <xdr:colOff>28575</xdr:colOff>
      <xdr:row>40</xdr:row>
      <xdr:rowOff>28575</xdr:rowOff>
    </xdr:from>
    <xdr:to>
      <xdr:col>4</xdr:col>
      <xdr:colOff>295275</xdr:colOff>
      <xdr:row>41</xdr:row>
      <xdr:rowOff>133350</xdr:rowOff>
    </xdr:to>
    <xdr:sp macro="" textlink="">
      <xdr:nvSpPr>
        <xdr:cNvPr id="14340" name="Rectangle 4"/>
        <xdr:cNvSpPr>
          <a:spLocks noChangeArrowheads="1"/>
        </xdr:cNvSpPr>
      </xdr:nvSpPr>
      <xdr:spPr bwMode="auto">
        <a:xfrm>
          <a:off x="714375" y="2057400"/>
          <a:ext cx="2724150" cy="0"/>
        </a:xfrm>
        <a:prstGeom prst="rect">
          <a:avLst/>
        </a:prstGeom>
        <a:solidFill>
          <a:srgbClr val="FFFF99"/>
        </a:solidFill>
        <a:ln w="19050">
          <a:solidFill>
            <a:srgbClr val="FF99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HGP創英角ｺﾞｼｯｸUB"/>
              <a:ea typeface="HGP創英角ｺﾞｼｯｸUB"/>
            </a:rPr>
            <a:t>（E-27.22）×100/84+2.7+α</a:t>
          </a:r>
        </a:p>
      </xdr:txBody>
    </xdr:sp>
    <xdr:clientData/>
  </xdr:twoCellAnchor>
  <xdr:twoCellAnchor>
    <xdr:from>
      <xdr:col>1</xdr:col>
      <xdr:colOff>28575</xdr:colOff>
      <xdr:row>49</xdr:row>
      <xdr:rowOff>28575</xdr:rowOff>
    </xdr:from>
    <xdr:to>
      <xdr:col>5</xdr:col>
      <xdr:colOff>581025</xdr:colOff>
      <xdr:row>50</xdr:row>
      <xdr:rowOff>133350</xdr:rowOff>
    </xdr:to>
    <xdr:sp macro="" textlink="">
      <xdr:nvSpPr>
        <xdr:cNvPr id="14341" name="Rectangle 5"/>
        <xdr:cNvSpPr>
          <a:spLocks noChangeArrowheads="1"/>
        </xdr:cNvSpPr>
      </xdr:nvSpPr>
      <xdr:spPr bwMode="auto">
        <a:xfrm>
          <a:off x="714375" y="2057400"/>
          <a:ext cx="3810000" cy="0"/>
        </a:xfrm>
        <a:prstGeom prst="rect">
          <a:avLst/>
        </a:prstGeom>
        <a:solidFill>
          <a:srgbClr val="FFFF99"/>
        </a:solidFill>
        <a:ln w="19050">
          <a:solidFill>
            <a:srgbClr val="FF99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HGP創英角ｺﾞｼｯｸUB"/>
              <a:ea typeface="HGP創英角ｺﾞｼｯｸUB"/>
            </a:rPr>
            <a:t>（E-27.22）×100/84×99/100+3.12+5.2+α</a:t>
          </a:r>
        </a:p>
      </xdr:txBody>
    </xdr:sp>
    <xdr:clientData/>
  </xdr:twoCellAnchor>
  <xdr:twoCellAnchor>
    <xdr:from>
      <xdr:col>1</xdr:col>
      <xdr:colOff>28575</xdr:colOff>
      <xdr:row>58</xdr:row>
      <xdr:rowOff>28575</xdr:rowOff>
    </xdr:from>
    <xdr:to>
      <xdr:col>6</xdr:col>
      <xdr:colOff>152400</xdr:colOff>
      <xdr:row>59</xdr:row>
      <xdr:rowOff>133350</xdr:rowOff>
    </xdr:to>
    <xdr:sp macro="" textlink="">
      <xdr:nvSpPr>
        <xdr:cNvPr id="14342" name="Rectangle 6"/>
        <xdr:cNvSpPr>
          <a:spLocks noChangeArrowheads="1"/>
        </xdr:cNvSpPr>
      </xdr:nvSpPr>
      <xdr:spPr bwMode="auto">
        <a:xfrm>
          <a:off x="714375" y="2057400"/>
          <a:ext cx="4067175" cy="0"/>
        </a:xfrm>
        <a:prstGeom prst="rect">
          <a:avLst/>
        </a:prstGeom>
        <a:solidFill>
          <a:srgbClr val="FFFF99"/>
        </a:solidFill>
        <a:ln w="19050">
          <a:solidFill>
            <a:srgbClr val="FF99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HGP創英角ｺﾞｼｯｸUB"/>
              <a:ea typeface="HGP創英角ｺﾞｼｯｸUB"/>
            </a:rPr>
            <a:t>（E-27.22）×100/84×65/100+(96×35/100）+2+α</a:t>
          </a:r>
        </a:p>
      </xdr:txBody>
    </xdr:sp>
    <xdr:clientData/>
  </xdr:twoCellAnchor>
  <xdr:twoCellAnchor>
    <xdr:from>
      <xdr:col>1</xdr:col>
      <xdr:colOff>28575</xdr:colOff>
      <xdr:row>67</xdr:row>
      <xdr:rowOff>28575</xdr:rowOff>
    </xdr:from>
    <xdr:to>
      <xdr:col>6</xdr:col>
      <xdr:colOff>285750</xdr:colOff>
      <xdr:row>68</xdr:row>
      <xdr:rowOff>133350</xdr:rowOff>
    </xdr:to>
    <xdr:sp macro="" textlink="">
      <xdr:nvSpPr>
        <xdr:cNvPr id="14343" name="Rectangle 7"/>
        <xdr:cNvSpPr>
          <a:spLocks noChangeArrowheads="1"/>
        </xdr:cNvSpPr>
      </xdr:nvSpPr>
      <xdr:spPr bwMode="auto">
        <a:xfrm>
          <a:off x="714375" y="2057400"/>
          <a:ext cx="4200525" cy="0"/>
        </a:xfrm>
        <a:prstGeom prst="rect">
          <a:avLst/>
        </a:prstGeom>
        <a:solidFill>
          <a:srgbClr val="FFFF99"/>
        </a:solidFill>
        <a:ln w="19050">
          <a:solidFill>
            <a:srgbClr val="FF99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HGP創英角ｺﾞｼｯｸUB"/>
              <a:ea typeface="HGP創英角ｺﾞｼｯｸUB"/>
            </a:rPr>
            <a:t>((E-17.60）×100/31.5-125)×0.4+(99.9×0.6)+2+α</a:t>
          </a:r>
        </a:p>
      </xdr:txBody>
    </xdr:sp>
    <xdr:clientData/>
  </xdr:twoCellAnchor>
  <xdr:twoCellAnchor>
    <xdr:from>
      <xdr:col>1</xdr:col>
      <xdr:colOff>28575</xdr:colOff>
      <xdr:row>76</xdr:row>
      <xdr:rowOff>28575</xdr:rowOff>
    </xdr:from>
    <xdr:to>
      <xdr:col>4</xdr:col>
      <xdr:colOff>38100</xdr:colOff>
      <xdr:row>77</xdr:row>
      <xdr:rowOff>133350</xdr:rowOff>
    </xdr:to>
    <xdr:sp macro="" textlink="">
      <xdr:nvSpPr>
        <xdr:cNvPr id="14344" name="Rectangle 8"/>
        <xdr:cNvSpPr>
          <a:spLocks noChangeArrowheads="1"/>
        </xdr:cNvSpPr>
      </xdr:nvSpPr>
      <xdr:spPr bwMode="auto">
        <a:xfrm>
          <a:off x="714375" y="2057400"/>
          <a:ext cx="2466975" cy="0"/>
        </a:xfrm>
        <a:prstGeom prst="rect">
          <a:avLst/>
        </a:prstGeom>
        <a:solidFill>
          <a:srgbClr val="FFFF99"/>
        </a:solidFill>
        <a:ln w="19050">
          <a:solidFill>
            <a:srgbClr val="FF99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HGP創英角ｺﾞｼｯｸUB"/>
              <a:ea typeface="HGP創英角ｺﾞｼｯｸUB"/>
            </a:rPr>
            <a:t>(E-17.60)×100/31.5-125+α</a:t>
          </a:r>
        </a:p>
      </xdr:txBody>
    </xdr:sp>
    <xdr:clientData/>
  </xdr:twoCellAnchor>
  <xdr:twoCellAnchor>
    <xdr:from>
      <xdr:col>1</xdr:col>
      <xdr:colOff>28575</xdr:colOff>
      <xdr:row>85</xdr:row>
      <xdr:rowOff>28575</xdr:rowOff>
    </xdr:from>
    <xdr:to>
      <xdr:col>4</xdr:col>
      <xdr:colOff>114300</xdr:colOff>
      <xdr:row>86</xdr:row>
      <xdr:rowOff>133350</xdr:rowOff>
    </xdr:to>
    <xdr:sp macro="" textlink="">
      <xdr:nvSpPr>
        <xdr:cNvPr id="14345" name="Rectangle 9"/>
        <xdr:cNvSpPr>
          <a:spLocks noChangeArrowheads="1"/>
        </xdr:cNvSpPr>
      </xdr:nvSpPr>
      <xdr:spPr bwMode="auto">
        <a:xfrm>
          <a:off x="714375" y="2057400"/>
          <a:ext cx="2543175" cy="0"/>
        </a:xfrm>
        <a:prstGeom prst="rect">
          <a:avLst/>
        </a:prstGeom>
        <a:solidFill>
          <a:srgbClr val="FFFF99"/>
        </a:solidFill>
        <a:ln w="19050">
          <a:solidFill>
            <a:srgbClr val="FF99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HGP創英角ｺﾞｼｯｸUB"/>
              <a:ea typeface="HGP創英角ｺﾞｼｯｸUB"/>
            </a:rPr>
            <a:t>（E-27.84）×100/84+2.7+α</a:t>
          </a:r>
        </a:p>
      </xdr:txBody>
    </xdr:sp>
    <xdr:clientData/>
  </xdr:twoCellAnchor>
  <xdr:twoCellAnchor>
    <xdr:from>
      <xdr:col>1</xdr:col>
      <xdr:colOff>28575</xdr:colOff>
      <xdr:row>94</xdr:row>
      <xdr:rowOff>28575</xdr:rowOff>
    </xdr:from>
    <xdr:to>
      <xdr:col>5</xdr:col>
      <xdr:colOff>200025</xdr:colOff>
      <xdr:row>95</xdr:row>
      <xdr:rowOff>133350</xdr:rowOff>
    </xdr:to>
    <xdr:sp macro="" textlink="">
      <xdr:nvSpPr>
        <xdr:cNvPr id="14346" name="Rectangle 10"/>
        <xdr:cNvSpPr>
          <a:spLocks noChangeArrowheads="1"/>
        </xdr:cNvSpPr>
      </xdr:nvSpPr>
      <xdr:spPr bwMode="auto">
        <a:xfrm>
          <a:off x="714375" y="2057400"/>
          <a:ext cx="3429000" cy="0"/>
        </a:xfrm>
        <a:prstGeom prst="rect">
          <a:avLst/>
        </a:prstGeom>
        <a:solidFill>
          <a:srgbClr val="FFFF99"/>
        </a:solidFill>
        <a:ln w="19050">
          <a:solidFill>
            <a:srgbClr val="FF99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HGP創英角ｺﾞｼｯｸUB"/>
              <a:ea typeface="HGP創英角ｺﾞｼｯｸUB"/>
            </a:rPr>
            <a:t>（E-27.84）×100/84×99/100+3.12+5.2+α</a:t>
          </a:r>
        </a:p>
      </xdr:txBody>
    </xdr:sp>
    <xdr:clientData/>
  </xdr:twoCellAnchor>
  <xdr:twoCellAnchor>
    <xdr:from>
      <xdr:col>1</xdr:col>
      <xdr:colOff>28575</xdr:colOff>
      <xdr:row>103</xdr:row>
      <xdr:rowOff>28575</xdr:rowOff>
    </xdr:from>
    <xdr:to>
      <xdr:col>4</xdr:col>
      <xdr:colOff>419100</xdr:colOff>
      <xdr:row>104</xdr:row>
      <xdr:rowOff>133350</xdr:rowOff>
    </xdr:to>
    <xdr:sp macro="" textlink="">
      <xdr:nvSpPr>
        <xdr:cNvPr id="14347" name="Rectangle 11"/>
        <xdr:cNvSpPr>
          <a:spLocks noChangeArrowheads="1"/>
        </xdr:cNvSpPr>
      </xdr:nvSpPr>
      <xdr:spPr bwMode="auto">
        <a:xfrm>
          <a:off x="714375" y="2057400"/>
          <a:ext cx="2847975" cy="0"/>
        </a:xfrm>
        <a:prstGeom prst="rect">
          <a:avLst/>
        </a:prstGeom>
        <a:solidFill>
          <a:srgbClr val="FFFF99"/>
        </a:solidFill>
        <a:ln w="19050">
          <a:solidFill>
            <a:srgbClr val="FF99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HGP創英角ｺﾞｼｯｸUB"/>
              <a:ea typeface="HGP創英角ｺﾞｼｯｸUB"/>
            </a:rPr>
            <a:t>ＱＰの標準原価（試算結果）＋１円/KG</a:t>
          </a:r>
        </a:p>
      </xdr:txBody>
    </xdr:sp>
    <xdr:clientData/>
  </xdr:twoCellAnchor>
  <xdr:twoCellAnchor>
    <xdr:from>
      <xdr:col>1</xdr:col>
      <xdr:colOff>28575</xdr:colOff>
      <xdr:row>112</xdr:row>
      <xdr:rowOff>28575</xdr:rowOff>
    </xdr:from>
    <xdr:to>
      <xdr:col>6</xdr:col>
      <xdr:colOff>476250</xdr:colOff>
      <xdr:row>113</xdr:row>
      <xdr:rowOff>133350</xdr:rowOff>
    </xdr:to>
    <xdr:sp macro="" textlink="">
      <xdr:nvSpPr>
        <xdr:cNvPr id="14348" name="Rectangle 12"/>
        <xdr:cNvSpPr>
          <a:spLocks noChangeArrowheads="1"/>
        </xdr:cNvSpPr>
      </xdr:nvSpPr>
      <xdr:spPr bwMode="auto">
        <a:xfrm>
          <a:off x="714375" y="2057400"/>
          <a:ext cx="4391025" cy="0"/>
        </a:xfrm>
        <a:prstGeom prst="rect">
          <a:avLst/>
        </a:prstGeom>
        <a:solidFill>
          <a:srgbClr val="FFFF99"/>
        </a:solidFill>
        <a:ln w="19050">
          <a:solidFill>
            <a:srgbClr val="FF99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HGP創英角ｺﾞｼｯｸUB"/>
              <a:ea typeface="HGP創英角ｺﾞｼｯｸUB"/>
            </a:rPr>
            <a:t>((E-17.60）×100/31.5-125)×0.48+(99.9×0.52)+2+α</a:t>
          </a:r>
        </a:p>
      </xdr:txBody>
    </xdr:sp>
    <xdr:clientData/>
  </xdr:twoCellAnchor>
  <xdr:twoCellAnchor>
    <xdr:from>
      <xdr:col>1</xdr:col>
      <xdr:colOff>28575</xdr:colOff>
      <xdr:row>121</xdr:row>
      <xdr:rowOff>28575</xdr:rowOff>
    </xdr:from>
    <xdr:to>
      <xdr:col>4</xdr:col>
      <xdr:colOff>85725</xdr:colOff>
      <xdr:row>122</xdr:row>
      <xdr:rowOff>133350</xdr:rowOff>
    </xdr:to>
    <xdr:sp macro="" textlink="">
      <xdr:nvSpPr>
        <xdr:cNvPr id="14349" name="Rectangle 13"/>
        <xdr:cNvSpPr>
          <a:spLocks noChangeArrowheads="1"/>
        </xdr:cNvSpPr>
      </xdr:nvSpPr>
      <xdr:spPr bwMode="auto">
        <a:xfrm>
          <a:off x="714375" y="2057400"/>
          <a:ext cx="2514600" cy="0"/>
        </a:xfrm>
        <a:prstGeom prst="rect">
          <a:avLst/>
        </a:prstGeom>
        <a:solidFill>
          <a:srgbClr val="FFFF99"/>
        </a:solidFill>
        <a:ln w="19050">
          <a:solidFill>
            <a:srgbClr val="FF99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HGP創英角ｺﾞｼｯｸUB"/>
              <a:ea typeface="HGP創英角ｺﾞｼｯｸUB"/>
            </a:rPr>
            <a:t>(E-17.60)×100/31.5-125+α</a:t>
          </a:r>
        </a:p>
      </xdr:txBody>
    </xdr:sp>
    <xdr:clientData/>
  </xdr:twoCellAnchor>
  <xdr:twoCellAnchor>
    <xdr:from>
      <xdr:col>1</xdr:col>
      <xdr:colOff>28575</xdr:colOff>
      <xdr:row>13</xdr:row>
      <xdr:rowOff>28575</xdr:rowOff>
    </xdr:from>
    <xdr:to>
      <xdr:col>6</xdr:col>
      <xdr:colOff>104775</xdr:colOff>
      <xdr:row>14</xdr:row>
      <xdr:rowOff>133350</xdr:rowOff>
    </xdr:to>
    <xdr:sp macro="" textlink="">
      <xdr:nvSpPr>
        <xdr:cNvPr id="14350" name="Rectangle 14"/>
        <xdr:cNvSpPr>
          <a:spLocks noChangeArrowheads="1"/>
        </xdr:cNvSpPr>
      </xdr:nvSpPr>
      <xdr:spPr bwMode="auto">
        <a:xfrm>
          <a:off x="714375" y="2057400"/>
          <a:ext cx="4019550" cy="0"/>
        </a:xfrm>
        <a:prstGeom prst="rect">
          <a:avLst/>
        </a:prstGeom>
        <a:solidFill>
          <a:srgbClr val="FFFF99"/>
        </a:solidFill>
        <a:ln w="19050">
          <a:solidFill>
            <a:srgbClr val="FF99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HGP創英角ｺﾞｼｯｸUB"/>
              <a:ea typeface="HGP創英角ｺﾞｼｯｸUB"/>
            </a:rPr>
            <a:t>（E-8)×100/茹卵歩留+その他原料＋資材＋経費＋１</a:t>
          </a:r>
        </a:p>
      </xdr:txBody>
    </xdr:sp>
    <xdr:clientData/>
  </xdr:twoCellAnchor>
  <xdr:twoCellAnchor>
    <xdr:from>
      <xdr:col>1</xdr:col>
      <xdr:colOff>28575</xdr:colOff>
      <xdr:row>22</xdr:row>
      <xdr:rowOff>28575</xdr:rowOff>
    </xdr:from>
    <xdr:to>
      <xdr:col>5</xdr:col>
      <xdr:colOff>200025</xdr:colOff>
      <xdr:row>23</xdr:row>
      <xdr:rowOff>133350</xdr:rowOff>
    </xdr:to>
    <xdr:sp macro="" textlink="">
      <xdr:nvSpPr>
        <xdr:cNvPr id="14351" name="Rectangle 15"/>
        <xdr:cNvSpPr>
          <a:spLocks noChangeArrowheads="1"/>
        </xdr:cNvSpPr>
      </xdr:nvSpPr>
      <xdr:spPr bwMode="auto">
        <a:xfrm>
          <a:off x="714375" y="2057400"/>
          <a:ext cx="3429000" cy="0"/>
        </a:xfrm>
        <a:prstGeom prst="rect">
          <a:avLst/>
        </a:prstGeom>
        <a:solidFill>
          <a:srgbClr val="FFFF99"/>
        </a:solidFill>
        <a:ln w="19050">
          <a:solidFill>
            <a:srgbClr val="FF99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HGP創英角ｺﾞｼｯｸUB"/>
              <a:ea typeface="HGP創英角ｺﾞｼｯｸUB"/>
            </a:rPr>
            <a:t>（E-8)×100/3分たまご歩留+資材＋経費＋１</a:t>
          </a:r>
        </a:p>
      </xdr:txBody>
    </xdr:sp>
    <xdr:clientData/>
  </xdr:twoCellAnchor>
  <xdr:twoCellAnchor>
    <xdr:from>
      <xdr:col>1</xdr:col>
      <xdr:colOff>28575</xdr:colOff>
      <xdr:row>31</xdr:row>
      <xdr:rowOff>28575</xdr:rowOff>
    </xdr:from>
    <xdr:to>
      <xdr:col>4</xdr:col>
      <xdr:colOff>523875</xdr:colOff>
      <xdr:row>32</xdr:row>
      <xdr:rowOff>133350</xdr:rowOff>
    </xdr:to>
    <xdr:sp macro="" textlink="">
      <xdr:nvSpPr>
        <xdr:cNvPr id="14352" name="Rectangle 16"/>
        <xdr:cNvSpPr>
          <a:spLocks noChangeArrowheads="1"/>
        </xdr:cNvSpPr>
      </xdr:nvSpPr>
      <xdr:spPr bwMode="auto">
        <a:xfrm>
          <a:off x="714375" y="2057400"/>
          <a:ext cx="2952750" cy="0"/>
        </a:xfrm>
        <a:prstGeom prst="rect">
          <a:avLst/>
        </a:prstGeom>
        <a:solidFill>
          <a:srgbClr val="FFFF99"/>
        </a:solidFill>
        <a:ln w="19050">
          <a:solidFill>
            <a:srgbClr val="FF99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HGP創英角ｺﾞｼｯｸUB"/>
              <a:ea typeface="HGP創英角ｺﾞｼｯｸUB"/>
            </a:rPr>
            <a:t>ＱＰの標準原価（試算結果）＋１円/KG</a:t>
          </a:r>
        </a:p>
      </xdr:txBody>
    </xdr:sp>
    <xdr:clientData/>
  </xdr:twoCellAnchor>
  <xdr:twoCellAnchor>
    <xdr:from>
      <xdr:col>1</xdr:col>
      <xdr:colOff>28575</xdr:colOff>
      <xdr:row>40</xdr:row>
      <xdr:rowOff>28575</xdr:rowOff>
    </xdr:from>
    <xdr:to>
      <xdr:col>4</xdr:col>
      <xdr:colOff>295275</xdr:colOff>
      <xdr:row>41</xdr:row>
      <xdr:rowOff>133350</xdr:rowOff>
    </xdr:to>
    <xdr:sp macro="" textlink="">
      <xdr:nvSpPr>
        <xdr:cNvPr id="14353" name="Rectangle 17"/>
        <xdr:cNvSpPr>
          <a:spLocks noChangeArrowheads="1"/>
        </xdr:cNvSpPr>
      </xdr:nvSpPr>
      <xdr:spPr bwMode="auto">
        <a:xfrm>
          <a:off x="714375" y="2057400"/>
          <a:ext cx="2724150" cy="0"/>
        </a:xfrm>
        <a:prstGeom prst="rect">
          <a:avLst/>
        </a:prstGeom>
        <a:solidFill>
          <a:srgbClr val="FFFF99"/>
        </a:solidFill>
        <a:ln w="19050">
          <a:solidFill>
            <a:srgbClr val="FF99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HGP創英角ｺﾞｼｯｸUB"/>
              <a:ea typeface="HGP創英角ｺﾞｼｯｸUB"/>
            </a:rPr>
            <a:t>（E-27.22）×100/84+2.7+α</a:t>
          </a:r>
        </a:p>
      </xdr:txBody>
    </xdr:sp>
    <xdr:clientData/>
  </xdr:twoCellAnchor>
  <xdr:twoCellAnchor>
    <xdr:from>
      <xdr:col>1</xdr:col>
      <xdr:colOff>28575</xdr:colOff>
      <xdr:row>49</xdr:row>
      <xdr:rowOff>28575</xdr:rowOff>
    </xdr:from>
    <xdr:to>
      <xdr:col>5</xdr:col>
      <xdr:colOff>581025</xdr:colOff>
      <xdr:row>50</xdr:row>
      <xdr:rowOff>133350</xdr:rowOff>
    </xdr:to>
    <xdr:sp macro="" textlink="">
      <xdr:nvSpPr>
        <xdr:cNvPr id="14354" name="Rectangle 18"/>
        <xdr:cNvSpPr>
          <a:spLocks noChangeArrowheads="1"/>
        </xdr:cNvSpPr>
      </xdr:nvSpPr>
      <xdr:spPr bwMode="auto">
        <a:xfrm>
          <a:off x="714375" y="2057400"/>
          <a:ext cx="3810000" cy="0"/>
        </a:xfrm>
        <a:prstGeom prst="rect">
          <a:avLst/>
        </a:prstGeom>
        <a:solidFill>
          <a:srgbClr val="FFFF99"/>
        </a:solidFill>
        <a:ln w="19050">
          <a:solidFill>
            <a:srgbClr val="FF99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HGP創英角ｺﾞｼｯｸUB"/>
              <a:ea typeface="HGP創英角ｺﾞｼｯｸUB"/>
            </a:rPr>
            <a:t>（E-27.22）×100/84×99/100+3.12+5.2+α</a:t>
          </a:r>
        </a:p>
      </xdr:txBody>
    </xdr:sp>
    <xdr:clientData/>
  </xdr:twoCellAnchor>
  <xdr:twoCellAnchor>
    <xdr:from>
      <xdr:col>1</xdr:col>
      <xdr:colOff>28575</xdr:colOff>
      <xdr:row>58</xdr:row>
      <xdr:rowOff>28575</xdr:rowOff>
    </xdr:from>
    <xdr:to>
      <xdr:col>6</xdr:col>
      <xdr:colOff>152400</xdr:colOff>
      <xdr:row>59</xdr:row>
      <xdr:rowOff>133350</xdr:rowOff>
    </xdr:to>
    <xdr:sp macro="" textlink="">
      <xdr:nvSpPr>
        <xdr:cNvPr id="14355" name="Rectangle 19"/>
        <xdr:cNvSpPr>
          <a:spLocks noChangeArrowheads="1"/>
        </xdr:cNvSpPr>
      </xdr:nvSpPr>
      <xdr:spPr bwMode="auto">
        <a:xfrm>
          <a:off x="714375" y="2057400"/>
          <a:ext cx="4067175" cy="0"/>
        </a:xfrm>
        <a:prstGeom prst="rect">
          <a:avLst/>
        </a:prstGeom>
        <a:solidFill>
          <a:srgbClr val="FFFF99"/>
        </a:solidFill>
        <a:ln w="19050">
          <a:solidFill>
            <a:srgbClr val="FF99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HGP創英角ｺﾞｼｯｸUB"/>
              <a:ea typeface="HGP創英角ｺﾞｼｯｸUB"/>
            </a:rPr>
            <a:t>（E-27.22）×100/84×65/100+(96×35/100）+2+α</a:t>
          </a:r>
        </a:p>
      </xdr:txBody>
    </xdr:sp>
    <xdr:clientData/>
  </xdr:twoCellAnchor>
  <xdr:twoCellAnchor>
    <xdr:from>
      <xdr:col>1</xdr:col>
      <xdr:colOff>28575</xdr:colOff>
      <xdr:row>67</xdr:row>
      <xdr:rowOff>28575</xdr:rowOff>
    </xdr:from>
    <xdr:to>
      <xdr:col>6</xdr:col>
      <xdr:colOff>285750</xdr:colOff>
      <xdr:row>68</xdr:row>
      <xdr:rowOff>133350</xdr:rowOff>
    </xdr:to>
    <xdr:sp macro="" textlink="">
      <xdr:nvSpPr>
        <xdr:cNvPr id="14356" name="Rectangle 20"/>
        <xdr:cNvSpPr>
          <a:spLocks noChangeArrowheads="1"/>
        </xdr:cNvSpPr>
      </xdr:nvSpPr>
      <xdr:spPr bwMode="auto">
        <a:xfrm>
          <a:off x="714375" y="2057400"/>
          <a:ext cx="4200525" cy="0"/>
        </a:xfrm>
        <a:prstGeom prst="rect">
          <a:avLst/>
        </a:prstGeom>
        <a:solidFill>
          <a:srgbClr val="FFFF99"/>
        </a:solidFill>
        <a:ln w="19050">
          <a:solidFill>
            <a:srgbClr val="FF99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HGP創英角ｺﾞｼｯｸUB"/>
              <a:ea typeface="HGP創英角ｺﾞｼｯｸUB"/>
            </a:rPr>
            <a:t>((E-17.60）×100/31.5-125)×0.4+(99.9×0.6)+2+α</a:t>
          </a:r>
        </a:p>
      </xdr:txBody>
    </xdr:sp>
    <xdr:clientData/>
  </xdr:twoCellAnchor>
  <xdr:twoCellAnchor>
    <xdr:from>
      <xdr:col>1</xdr:col>
      <xdr:colOff>28575</xdr:colOff>
      <xdr:row>76</xdr:row>
      <xdr:rowOff>28575</xdr:rowOff>
    </xdr:from>
    <xdr:to>
      <xdr:col>4</xdr:col>
      <xdr:colOff>38100</xdr:colOff>
      <xdr:row>77</xdr:row>
      <xdr:rowOff>133350</xdr:rowOff>
    </xdr:to>
    <xdr:sp macro="" textlink="">
      <xdr:nvSpPr>
        <xdr:cNvPr id="14357" name="Rectangle 21"/>
        <xdr:cNvSpPr>
          <a:spLocks noChangeArrowheads="1"/>
        </xdr:cNvSpPr>
      </xdr:nvSpPr>
      <xdr:spPr bwMode="auto">
        <a:xfrm>
          <a:off x="714375" y="2057400"/>
          <a:ext cx="2466975" cy="0"/>
        </a:xfrm>
        <a:prstGeom prst="rect">
          <a:avLst/>
        </a:prstGeom>
        <a:solidFill>
          <a:srgbClr val="FFFF99"/>
        </a:solidFill>
        <a:ln w="19050">
          <a:solidFill>
            <a:srgbClr val="FF99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HGP創英角ｺﾞｼｯｸUB"/>
              <a:ea typeface="HGP創英角ｺﾞｼｯｸUB"/>
            </a:rPr>
            <a:t>(E-17.60)×100/31.5-125+α</a:t>
          </a:r>
        </a:p>
      </xdr:txBody>
    </xdr:sp>
    <xdr:clientData/>
  </xdr:twoCellAnchor>
  <xdr:twoCellAnchor>
    <xdr:from>
      <xdr:col>1</xdr:col>
      <xdr:colOff>28575</xdr:colOff>
      <xdr:row>85</xdr:row>
      <xdr:rowOff>28575</xdr:rowOff>
    </xdr:from>
    <xdr:to>
      <xdr:col>4</xdr:col>
      <xdr:colOff>114300</xdr:colOff>
      <xdr:row>86</xdr:row>
      <xdr:rowOff>133350</xdr:rowOff>
    </xdr:to>
    <xdr:sp macro="" textlink="">
      <xdr:nvSpPr>
        <xdr:cNvPr id="14358" name="Rectangle 22"/>
        <xdr:cNvSpPr>
          <a:spLocks noChangeArrowheads="1"/>
        </xdr:cNvSpPr>
      </xdr:nvSpPr>
      <xdr:spPr bwMode="auto">
        <a:xfrm>
          <a:off x="714375" y="2057400"/>
          <a:ext cx="2543175" cy="0"/>
        </a:xfrm>
        <a:prstGeom prst="rect">
          <a:avLst/>
        </a:prstGeom>
        <a:solidFill>
          <a:srgbClr val="FFFF99"/>
        </a:solidFill>
        <a:ln w="19050">
          <a:solidFill>
            <a:srgbClr val="FF99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HGP創英角ｺﾞｼｯｸUB"/>
              <a:ea typeface="HGP創英角ｺﾞｼｯｸUB"/>
            </a:rPr>
            <a:t>（E-27.84）×100/84+2.7+α</a:t>
          </a:r>
        </a:p>
      </xdr:txBody>
    </xdr:sp>
    <xdr:clientData/>
  </xdr:twoCellAnchor>
  <xdr:twoCellAnchor>
    <xdr:from>
      <xdr:col>1</xdr:col>
      <xdr:colOff>28575</xdr:colOff>
      <xdr:row>94</xdr:row>
      <xdr:rowOff>28575</xdr:rowOff>
    </xdr:from>
    <xdr:to>
      <xdr:col>5</xdr:col>
      <xdr:colOff>200025</xdr:colOff>
      <xdr:row>95</xdr:row>
      <xdr:rowOff>133350</xdr:rowOff>
    </xdr:to>
    <xdr:sp macro="" textlink="">
      <xdr:nvSpPr>
        <xdr:cNvPr id="14359" name="Rectangle 23"/>
        <xdr:cNvSpPr>
          <a:spLocks noChangeArrowheads="1"/>
        </xdr:cNvSpPr>
      </xdr:nvSpPr>
      <xdr:spPr bwMode="auto">
        <a:xfrm>
          <a:off x="714375" y="2057400"/>
          <a:ext cx="3429000" cy="0"/>
        </a:xfrm>
        <a:prstGeom prst="rect">
          <a:avLst/>
        </a:prstGeom>
        <a:solidFill>
          <a:srgbClr val="FFFF99"/>
        </a:solidFill>
        <a:ln w="19050">
          <a:solidFill>
            <a:srgbClr val="FF99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HGP創英角ｺﾞｼｯｸUB"/>
              <a:ea typeface="HGP創英角ｺﾞｼｯｸUB"/>
            </a:rPr>
            <a:t>（E-27.84）×100/84×99/100+3.12+5.2+α</a:t>
          </a:r>
        </a:p>
      </xdr:txBody>
    </xdr:sp>
    <xdr:clientData/>
  </xdr:twoCellAnchor>
  <xdr:twoCellAnchor>
    <xdr:from>
      <xdr:col>1</xdr:col>
      <xdr:colOff>28575</xdr:colOff>
      <xdr:row>103</xdr:row>
      <xdr:rowOff>28575</xdr:rowOff>
    </xdr:from>
    <xdr:to>
      <xdr:col>4</xdr:col>
      <xdr:colOff>419100</xdr:colOff>
      <xdr:row>104</xdr:row>
      <xdr:rowOff>133350</xdr:rowOff>
    </xdr:to>
    <xdr:sp macro="" textlink="">
      <xdr:nvSpPr>
        <xdr:cNvPr id="14360" name="Rectangle 24"/>
        <xdr:cNvSpPr>
          <a:spLocks noChangeArrowheads="1"/>
        </xdr:cNvSpPr>
      </xdr:nvSpPr>
      <xdr:spPr bwMode="auto">
        <a:xfrm>
          <a:off x="714375" y="2057400"/>
          <a:ext cx="2847975" cy="0"/>
        </a:xfrm>
        <a:prstGeom prst="rect">
          <a:avLst/>
        </a:prstGeom>
        <a:solidFill>
          <a:srgbClr val="FFFF99"/>
        </a:solidFill>
        <a:ln w="19050">
          <a:solidFill>
            <a:srgbClr val="FF99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HGP創英角ｺﾞｼｯｸUB"/>
              <a:ea typeface="HGP創英角ｺﾞｼｯｸUB"/>
            </a:rPr>
            <a:t>ＱＰの標準原価（試算結果）＋１円/KG</a:t>
          </a:r>
        </a:p>
      </xdr:txBody>
    </xdr:sp>
    <xdr:clientData/>
  </xdr:twoCellAnchor>
  <xdr:twoCellAnchor>
    <xdr:from>
      <xdr:col>1</xdr:col>
      <xdr:colOff>28575</xdr:colOff>
      <xdr:row>112</xdr:row>
      <xdr:rowOff>28575</xdr:rowOff>
    </xdr:from>
    <xdr:to>
      <xdr:col>6</xdr:col>
      <xdr:colOff>476250</xdr:colOff>
      <xdr:row>113</xdr:row>
      <xdr:rowOff>133350</xdr:rowOff>
    </xdr:to>
    <xdr:sp macro="" textlink="">
      <xdr:nvSpPr>
        <xdr:cNvPr id="14361" name="Rectangle 25"/>
        <xdr:cNvSpPr>
          <a:spLocks noChangeArrowheads="1"/>
        </xdr:cNvSpPr>
      </xdr:nvSpPr>
      <xdr:spPr bwMode="auto">
        <a:xfrm>
          <a:off x="714375" y="2057400"/>
          <a:ext cx="4391025" cy="0"/>
        </a:xfrm>
        <a:prstGeom prst="rect">
          <a:avLst/>
        </a:prstGeom>
        <a:solidFill>
          <a:srgbClr val="FFFF99"/>
        </a:solidFill>
        <a:ln w="19050">
          <a:solidFill>
            <a:srgbClr val="FF99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HGP創英角ｺﾞｼｯｸUB"/>
              <a:ea typeface="HGP創英角ｺﾞｼｯｸUB"/>
            </a:rPr>
            <a:t>((E-17.60）×100/31.5-125)×0.48+(99.9×0.52)+2+α</a:t>
          </a:r>
        </a:p>
      </xdr:txBody>
    </xdr:sp>
    <xdr:clientData/>
  </xdr:twoCellAnchor>
  <xdr:twoCellAnchor>
    <xdr:from>
      <xdr:col>1</xdr:col>
      <xdr:colOff>28575</xdr:colOff>
      <xdr:row>121</xdr:row>
      <xdr:rowOff>28575</xdr:rowOff>
    </xdr:from>
    <xdr:to>
      <xdr:col>4</xdr:col>
      <xdr:colOff>85725</xdr:colOff>
      <xdr:row>122</xdr:row>
      <xdr:rowOff>133350</xdr:rowOff>
    </xdr:to>
    <xdr:sp macro="" textlink="">
      <xdr:nvSpPr>
        <xdr:cNvPr id="14362" name="Rectangle 26"/>
        <xdr:cNvSpPr>
          <a:spLocks noChangeArrowheads="1"/>
        </xdr:cNvSpPr>
      </xdr:nvSpPr>
      <xdr:spPr bwMode="auto">
        <a:xfrm>
          <a:off x="714375" y="2057400"/>
          <a:ext cx="2514600" cy="0"/>
        </a:xfrm>
        <a:prstGeom prst="rect">
          <a:avLst/>
        </a:prstGeom>
        <a:solidFill>
          <a:srgbClr val="FFFF99"/>
        </a:solidFill>
        <a:ln w="19050">
          <a:solidFill>
            <a:srgbClr val="FF99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HGP創英角ｺﾞｼｯｸUB"/>
              <a:ea typeface="HGP創英角ｺﾞｼｯｸUB"/>
            </a:rPr>
            <a:t>(E-17.60)×100/31.5-125+α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</xdr:row>
          <xdr:rowOff>66675</xdr:rowOff>
        </xdr:from>
        <xdr:to>
          <xdr:col>11</xdr:col>
          <xdr:colOff>304800</xdr:colOff>
          <xdr:row>4</xdr:row>
          <xdr:rowOff>152400</xdr:rowOff>
        </xdr:to>
        <xdr:sp macro="" textlink="">
          <xdr:nvSpPr>
            <xdr:cNvPr id="14363" name="CommandButton1" hidden="1">
              <a:extLst>
                <a:ext uri="{63B3BB69-23CF-44E3-9099-C40C66FF867C}">
                  <a14:compatExt spid="_x0000_s14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0</xdr:row>
          <xdr:rowOff>9525</xdr:rowOff>
        </xdr:from>
        <xdr:to>
          <xdr:col>1</xdr:col>
          <xdr:colOff>685800</xdr:colOff>
          <xdr:row>2</xdr:row>
          <xdr:rowOff>19050</xdr:rowOff>
        </xdr:to>
        <xdr:sp macro="" textlink="">
          <xdr:nvSpPr>
            <xdr:cNvPr id="14364" name="OptionButton1" hidden="1">
              <a:extLst>
                <a:ext uri="{63B3BB69-23CF-44E3-9099-C40C66FF867C}">
                  <a14:compatExt spid="_x0000_s14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0</xdr:row>
          <xdr:rowOff>19050</xdr:rowOff>
        </xdr:from>
        <xdr:to>
          <xdr:col>3</xdr:col>
          <xdr:colOff>485775</xdr:colOff>
          <xdr:row>2</xdr:row>
          <xdr:rowOff>28575</xdr:rowOff>
        </xdr:to>
        <xdr:sp macro="" textlink="">
          <xdr:nvSpPr>
            <xdr:cNvPr id="14365" name="OptionButton2" hidden="1">
              <a:extLst>
                <a:ext uri="{63B3BB69-23CF-44E3-9099-C40C66FF867C}">
                  <a14:compatExt spid="_x0000_s14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0</xdr:rowOff>
        </xdr:from>
        <xdr:to>
          <xdr:col>5</xdr:col>
          <xdr:colOff>171450</xdr:colOff>
          <xdr:row>2</xdr:row>
          <xdr:rowOff>9525</xdr:rowOff>
        </xdr:to>
        <xdr:sp macro="" textlink="">
          <xdr:nvSpPr>
            <xdr:cNvPr id="14366" name="OptionButton3" hidden="1">
              <a:extLst>
                <a:ext uri="{63B3BB69-23CF-44E3-9099-C40C66FF867C}">
                  <a14:compatExt spid="_x0000_s14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</xdr:row>
          <xdr:rowOff>95250</xdr:rowOff>
        </xdr:from>
        <xdr:to>
          <xdr:col>2</xdr:col>
          <xdr:colOff>257175</xdr:colOff>
          <xdr:row>4</xdr:row>
          <xdr:rowOff>95250</xdr:rowOff>
        </xdr:to>
        <xdr:sp macro="" textlink="">
          <xdr:nvSpPr>
            <xdr:cNvPr id="14367" name="OptionButton4" hidden="1">
              <a:extLst>
                <a:ext uri="{63B3BB69-23CF-44E3-9099-C40C66FF867C}">
                  <a14:compatExt spid="_x0000_s14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2</xdr:row>
          <xdr:rowOff>95250</xdr:rowOff>
        </xdr:from>
        <xdr:to>
          <xdr:col>3</xdr:col>
          <xdr:colOff>752475</xdr:colOff>
          <xdr:row>4</xdr:row>
          <xdr:rowOff>95250</xdr:rowOff>
        </xdr:to>
        <xdr:sp macro="" textlink="">
          <xdr:nvSpPr>
            <xdr:cNvPr id="14368" name="OptionButton5" hidden="1">
              <a:extLst>
                <a:ext uri="{63B3BB69-23CF-44E3-9099-C40C66FF867C}">
                  <a14:compatExt spid="_x0000_s14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104775</xdr:rowOff>
        </xdr:from>
        <xdr:to>
          <xdr:col>5</xdr:col>
          <xdr:colOff>419100</xdr:colOff>
          <xdr:row>4</xdr:row>
          <xdr:rowOff>104775</xdr:rowOff>
        </xdr:to>
        <xdr:sp macro="" textlink="">
          <xdr:nvSpPr>
            <xdr:cNvPr id="14369" name="OptionButton6" hidden="1">
              <a:extLst>
                <a:ext uri="{63B3BB69-23CF-44E3-9099-C40C66FF867C}">
                  <a14:compatExt spid="_x0000_s14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438150</xdr:colOff>
          <xdr:row>2</xdr:row>
          <xdr:rowOff>95250</xdr:rowOff>
        </xdr:from>
        <xdr:to>
          <xdr:col>7</xdr:col>
          <xdr:colOff>285750</xdr:colOff>
          <xdr:row>4</xdr:row>
          <xdr:rowOff>95250</xdr:rowOff>
        </xdr:to>
        <xdr:sp macro="" textlink="">
          <xdr:nvSpPr>
            <xdr:cNvPr id="14370" name="OptionButton7" hidden="1">
              <a:extLst>
                <a:ext uri="{63B3BB69-23CF-44E3-9099-C40C66FF867C}">
                  <a14:compatExt spid="_x0000_s14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2</xdr:row>
          <xdr:rowOff>104775</xdr:rowOff>
        </xdr:from>
        <xdr:to>
          <xdr:col>9</xdr:col>
          <xdr:colOff>180975</xdr:colOff>
          <xdr:row>4</xdr:row>
          <xdr:rowOff>104775</xdr:rowOff>
        </xdr:to>
        <xdr:sp macro="" textlink="">
          <xdr:nvSpPr>
            <xdr:cNvPr id="14371" name="OptionButton8" hidden="1">
              <a:extLst>
                <a:ext uri="{63B3BB69-23CF-44E3-9099-C40C66FF867C}">
                  <a14:compatExt spid="_x0000_s14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123825</xdr:rowOff>
        </xdr:from>
        <xdr:to>
          <xdr:col>2</xdr:col>
          <xdr:colOff>257175</xdr:colOff>
          <xdr:row>6</xdr:row>
          <xdr:rowOff>123825</xdr:rowOff>
        </xdr:to>
        <xdr:sp macro="" textlink="">
          <xdr:nvSpPr>
            <xdr:cNvPr id="14372" name="OptionButton9" hidden="1">
              <a:extLst>
                <a:ext uri="{63B3BB69-23CF-44E3-9099-C40C66FF867C}">
                  <a14:compatExt spid="_x0000_s14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4</xdr:row>
          <xdr:rowOff>123825</xdr:rowOff>
        </xdr:from>
        <xdr:to>
          <xdr:col>3</xdr:col>
          <xdr:colOff>762000</xdr:colOff>
          <xdr:row>6</xdr:row>
          <xdr:rowOff>123825</xdr:rowOff>
        </xdr:to>
        <xdr:sp macro="" textlink="">
          <xdr:nvSpPr>
            <xdr:cNvPr id="14373" name="OptionButton10" hidden="1">
              <a:extLst>
                <a:ext uri="{63B3BB69-23CF-44E3-9099-C40C66FF867C}">
                  <a14:compatExt spid="_x0000_s14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133350</xdr:rowOff>
        </xdr:from>
        <xdr:to>
          <xdr:col>5</xdr:col>
          <xdr:colOff>419100</xdr:colOff>
          <xdr:row>6</xdr:row>
          <xdr:rowOff>133350</xdr:rowOff>
        </xdr:to>
        <xdr:sp macro="" textlink="">
          <xdr:nvSpPr>
            <xdr:cNvPr id="14374" name="OptionButton11" hidden="1">
              <a:extLst>
                <a:ext uri="{63B3BB69-23CF-44E3-9099-C40C66FF867C}">
                  <a14:compatExt spid="_x0000_s14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438150</xdr:colOff>
          <xdr:row>4</xdr:row>
          <xdr:rowOff>133350</xdr:rowOff>
        </xdr:from>
        <xdr:to>
          <xdr:col>7</xdr:col>
          <xdr:colOff>285750</xdr:colOff>
          <xdr:row>6</xdr:row>
          <xdr:rowOff>133350</xdr:rowOff>
        </xdr:to>
        <xdr:sp macro="" textlink="">
          <xdr:nvSpPr>
            <xdr:cNvPr id="14375" name="OptionButton12" hidden="1">
              <a:extLst>
                <a:ext uri="{63B3BB69-23CF-44E3-9099-C40C66FF867C}">
                  <a14:compatExt spid="_x0000_s14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4</xdr:row>
          <xdr:rowOff>133350</xdr:rowOff>
        </xdr:from>
        <xdr:to>
          <xdr:col>9</xdr:col>
          <xdr:colOff>180975</xdr:colOff>
          <xdr:row>6</xdr:row>
          <xdr:rowOff>133350</xdr:rowOff>
        </xdr:to>
        <xdr:sp macro="" textlink="">
          <xdr:nvSpPr>
            <xdr:cNvPr id="14376" name="OptionButton13" hidden="1">
              <a:extLst>
                <a:ext uri="{63B3BB69-23CF-44E3-9099-C40C66FF867C}">
                  <a14:compatExt spid="_x0000_s14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0</xdr:row>
          <xdr:rowOff>19050</xdr:rowOff>
        </xdr:from>
        <xdr:to>
          <xdr:col>3</xdr:col>
          <xdr:colOff>485775</xdr:colOff>
          <xdr:row>2</xdr:row>
          <xdr:rowOff>28575</xdr:rowOff>
        </xdr:to>
        <xdr:sp macro="" textlink="">
          <xdr:nvSpPr>
            <xdr:cNvPr id="14377" name="OptionButton14" hidden="1">
              <a:extLst>
                <a:ext uri="{63B3BB69-23CF-44E3-9099-C40C66FF867C}">
                  <a14:compatExt spid="_x0000_s14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2</xdr:row>
          <xdr:rowOff>9525</xdr:rowOff>
        </xdr:from>
        <xdr:to>
          <xdr:col>1</xdr:col>
          <xdr:colOff>790575</xdr:colOff>
          <xdr:row>2</xdr:row>
          <xdr:rowOff>152400</xdr:rowOff>
        </xdr:to>
        <xdr:sp macro="" textlink="">
          <xdr:nvSpPr>
            <xdr:cNvPr id="14378" name="Label1" hidden="1">
              <a:extLst>
                <a:ext uri="{63B3BB69-23CF-44E3-9099-C40C66FF867C}">
                  <a14:compatExt spid="_x0000_s14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47625</xdr:rowOff>
        </xdr:from>
        <xdr:to>
          <xdr:col>1</xdr:col>
          <xdr:colOff>781050</xdr:colOff>
          <xdr:row>5</xdr:row>
          <xdr:rowOff>19050</xdr:rowOff>
        </xdr:to>
        <xdr:sp macro="" textlink="">
          <xdr:nvSpPr>
            <xdr:cNvPr id="14379" name="Label2" hidden="1">
              <a:extLst>
                <a:ext uri="{63B3BB69-23CF-44E3-9099-C40C66FF867C}">
                  <a14:compatExt spid="_x0000_s14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467;&#12500;&#12540;%20&#65374;%20&#12304;&#30740;&#65343;&#12381;&#12398;&#20182;&#35519;&#21619;&#26009;&#20197;&#22806;&#12305;&#21407;&#20385;&#35430;&#31639;&#12501;&#12457;&#12540;&#12510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6368;&#26032;&#12524;&#12452;&#12450;&#12454;&#12488;/&#12304;&#30740;&#65343;&#12381;&#12398;&#20182;&#35519;&#21619;&#26009;&#20197;&#22806;&#12305;&#21407;&#20385;&#35430;&#31639;&#12501;&#12457;&#12540;&#12510;&#12483;&#12488;_&#26368;&#26032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原価試算"/>
      <sheetName val="Setting"/>
      <sheetName val="試算結果"/>
      <sheetName val="原料確認"/>
      <sheetName val="仕切式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原価試算"/>
      <sheetName val="Setting"/>
      <sheetName val="試算結果"/>
      <sheetName val="原料確認"/>
      <sheetName val="仕切式"/>
    </sheetNames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34" Type="http://schemas.openxmlformats.org/officeDocument/2006/relationships/image" Target="../media/image16.emf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32" Type="http://schemas.openxmlformats.org/officeDocument/2006/relationships/image" Target="../media/image15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36" Type="http://schemas.openxmlformats.org/officeDocument/2006/relationships/image" Target="../media/image17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31" Type="http://schemas.openxmlformats.org/officeDocument/2006/relationships/control" Target="../activeX/activeX15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Relationship Id="rId35" Type="http://schemas.openxmlformats.org/officeDocument/2006/relationships/control" Target="../activeX/activeX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Y200"/>
  <sheetViews>
    <sheetView showGridLines="0" tabSelected="1" showOutlineSymbols="0" zoomScale="75" zoomScaleNormal="80" zoomScaleSheetLayoutView="50" workbookViewId="0"/>
  </sheetViews>
  <sheetFormatPr defaultRowHeight="13.5" x14ac:dyDescent="0.15"/>
  <cols>
    <col min="1" max="1" width="1.125" style="1" customWidth="1"/>
    <col min="2" max="2" width="9.125" style="2" customWidth="1"/>
    <col min="3" max="3" width="4" style="1" hidden="1" customWidth="1"/>
    <col min="4" max="4" width="17.625" style="1" customWidth="1"/>
    <col min="5" max="5" width="67" style="1" customWidth="1"/>
    <col min="6" max="6" width="15.25" style="1" customWidth="1"/>
    <col min="7" max="7" width="10.125" style="1" customWidth="1"/>
    <col min="8" max="8" width="18.125" style="1" customWidth="1"/>
    <col min="9" max="9" width="23.625" style="1" customWidth="1"/>
    <col min="10" max="10" width="6.625" style="1" customWidth="1"/>
    <col min="11" max="11" width="18.125" style="1" customWidth="1"/>
    <col min="12" max="12" width="23.625" style="1" customWidth="1"/>
    <col min="13" max="13" width="6.625" style="1" customWidth="1"/>
    <col min="14" max="14" width="18.125" style="1" customWidth="1"/>
    <col min="15" max="15" width="23.625" style="1" customWidth="1"/>
    <col min="16" max="16" width="6.625" style="1" customWidth="1"/>
    <col min="17" max="17" width="38.375" style="1" customWidth="1"/>
    <col min="18" max="18" width="7.375" style="1" customWidth="1"/>
    <col min="19" max="19" width="32.5" style="1" customWidth="1"/>
    <col min="20" max="20" width="3.875" style="1" customWidth="1"/>
    <col min="21" max="21" width="32.5" style="1" customWidth="1"/>
    <col min="22" max="22" width="3.875" style="1" customWidth="1"/>
    <col min="23" max="23" width="32.5" style="1" customWidth="1"/>
    <col min="24" max="24" width="5" style="1" customWidth="1"/>
    <col min="25" max="29" width="8.625" style="1" customWidth="1"/>
    <col min="30" max="16384" width="9" style="1"/>
  </cols>
  <sheetData>
    <row r="1" spans="2:25" ht="30" customHeight="1" x14ac:dyDescent="0.2">
      <c r="B1" s="67" t="s">
        <v>74</v>
      </c>
      <c r="C1" s="68"/>
      <c r="D1" s="68"/>
      <c r="E1" s="69" t="s">
        <v>75</v>
      </c>
      <c r="F1" s="70" t="s">
        <v>76</v>
      </c>
      <c r="G1" s="71"/>
      <c r="H1" s="72"/>
      <c r="I1" s="385"/>
      <c r="J1" s="385"/>
      <c r="K1" s="73">
        <f>I1</f>
        <v>0</v>
      </c>
      <c r="N1" s="74"/>
      <c r="O1" s="74"/>
      <c r="P1" s="74"/>
      <c r="Q1" s="74"/>
      <c r="R1" s="75"/>
      <c r="W1" s="76" t="s">
        <v>277</v>
      </c>
      <c r="X1" s="76"/>
      <c r="Y1" s="77"/>
    </row>
    <row r="2" spans="2:25" ht="45" customHeight="1" thickBot="1" x14ac:dyDescent="0.35">
      <c r="B2" s="78" t="s">
        <v>77</v>
      </c>
      <c r="D2" s="79"/>
      <c r="E2" s="316"/>
      <c r="F2" s="79"/>
      <c r="G2" s="79"/>
      <c r="H2" s="79"/>
      <c r="I2" s="79"/>
      <c r="J2" s="79"/>
      <c r="K2" s="80"/>
      <c r="L2" s="81"/>
      <c r="M2" s="81"/>
      <c r="N2" s="82"/>
      <c r="O2" s="83"/>
      <c r="P2" s="83"/>
      <c r="Q2" s="84" t="s">
        <v>78</v>
      </c>
      <c r="R2" s="85"/>
      <c r="S2" s="85"/>
      <c r="T2" s="85"/>
      <c r="U2" s="85"/>
      <c r="V2" s="85"/>
      <c r="W2" s="309"/>
      <c r="X2" s="309"/>
    </row>
    <row r="3" spans="2:25" ht="15.75" customHeight="1" thickTop="1" thickBot="1" x14ac:dyDescent="0.2">
      <c r="B3" s="86"/>
      <c r="D3" s="87"/>
      <c r="E3" s="88"/>
      <c r="F3" s="88"/>
      <c r="G3" s="89"/>
      <c r="I3" s="90"/>
      <c r="J3" s="90"/>
      <c r="K3" s="91"/>
      <c r="L3" s="92"/>
      <c r="M3" s="92"/>
      <c r="Q3" s="85"/>
      <c r="R3" s="93"/>
      <c r="S3" s="85"/>
      <c r="T3" s="85"/>
      <c r="U3" s="85"/>
      <c r="V3" s="85"/>
      <c r="W3" s="309"/>
      <c r="X3" s="309"/>
    </row>
    <row r="4" spans="2:25" ht="18" thickBot="1" x14ac:dyDescent="0.25">
      <c r="B4" s="94"/>
      <c r="D4" s="95" t="s">
        <v>79</v>
      </c>
      <c r="E4" s="96"/>
      <c r="F4" s="97" t="s">
        <v>80</v>
      </c>
      <c r="G4" s="98"/>
      <c r="Q4" s="99" t="s">
        <v>18</v>
      </c>
      <c r="R4" s="100"/>
      <c r="S4" s="99" t="s">
        <v>278</v>
      </c>
      <c r="T4" s="99"/>
      <c r="U4" s="99" t="s">
        <v>279</v>
      </c>
      <c r="V4" s="99"/>
      <c r="W4" s="310" t="s">
        <v>280</v>
      </c>
      <c r="X4" s="310"/>
    </row>
    <row r="5" spans="2:25" s="101" customFormat="1" ht="4.5" customHeight="1" thickBot="1" x14ac:dyDescent="0.2">
      <c r="B5" s="102"/>
      <c r="D5" s="103"/>
      <c r="E5" s="104"/>
      <c r="G5" s="105"/>
      <c r="Q5" s="106"/>
      <c r="R5" s="107"/>
      <c r="S5" s="311"/>
      <c r="T5" s="311"/>
      <c r="U5" s="311"/>
      <c r="V5" s="311"/>
      <c r="W5" s="312"/>
      <c r="X5" s="312"/>
    </row>
    <row r="6" spans="2:25" ht="21" customHeight="1" thickBot="1" x14ac:dyDescent="0.25">
      <c r="B6" s="108"/>
      <c r="D6" s="109" t="s">
        <v>81</v>
      </c>
      <c r="E6" s="96"/>
      <c r="F6" s="110" t="s">
        <v>82</v>
      </c>
      <c r="G6" s="92"/>
      <c r="K6" s="96"/>
      <c r="L6" s="92"/>
      <c r="M6" s="92"/>
      <c r="Q6" s="342"/>
      <c r="R6" s="111"/>
      <c r="S6" s="342"/>
      <c r="T6" s="313"/>
      <c r="U6" s="343"/>
      <c r="V6" s="112"/>
      <c r="W6" s="314"/>
      <c r="X6" s="314"/>
    </row>
    <row r="7" spans="2:25" ht="4.5" customHeight="1" x14ac:dyDescent="0.15">
      <c r="B7" s="113"/>
      <c r="C7" s="95"/>
      <c r="E7" s="96"/>
      <c r="F7" s="113"/>
      <c r="G7" s="92"/>
      <c r="I7" s="110"/>
      <c r="J7" s="110"/>
      <c r="K7" s="96"/>
      <c r="L7" s="92"/>
      <c r="M7" s="92"/>
      <c r="R7" s="91"/>
      <c r="W7" s="74"/>
      <c r="X7" s="74"/>
    </row>
    <row r="8" spans="2:25" x14ac:dyDescent="0.15">
      <c r="B8" s="107" t="s">
        <v>83</v>
      </c>
      <c r="E8" s="114"/>
      <c r="F8" s="97" t="s">
        <v>84</v>
      </c>
      <c r="G8" s="115"/>
      <c r="K8" s="74"/>
      <c r="L8" s="74"/>
      <c r="M8" s="74"/>
      <c r="N8" s="74"/>
      <c r="O8" s="74"/>
      <c r="P8" s="74"/>
      <c r="Q8" s="74"/>
      <c r="R8" s="74"/>
      <c r="W8" s="74"/>
      <c r="X8" s="74"/>
    </row>
    <row r="9" spans="2:25" ht="4.5" customHeight="1" x14ac:dyDescent="0.15">
      <c r="B9" s="1"/>
      <c r="D9" s="116"/>
      <c r="E9" s="116"/>
      <c r="F9" s="116"/>
      <c r="G9" s="116"/>
      <c r="I9" s="116"/>
      <c r="J9" s="116"/>
      <c r="K9" s="116"/>
      <c r="L9" s="74"/>
      <c r="M9" s="74"/>
      <c r="N9" s="74"/>
      <c r="O9" s="74"/>
      <c r="P9" s="74"/>
      <c r="Q9" s="74"/>
      <c r="R9" s="74"/>
      <c r="W9" s="74"/>
      <c r="X9" s="74"/>
    </row>
    <row r="10" spans="2:25" x14ac:dyDescent="0.15">
      <c r="B10" s="117"/>
      <c r="C10" s="96"/>
      <c r="D10" s="96"/>
      <c r="E10" s="96"/>
      <c r="F10" s="110" t="s">
        <v>85</v>
      </c>
      <c r="G10" s="119"/>
      <c r="I10" s="120"/>
      <c r="J10" s="120"/>
      <c r="K10" s="110"/>
      <c r="L10" s="110"/>
      <c r="M10" s="110"/>
      <c r="N10" s="110"/>
      <c r="O10" s="110"/>
      <c r="P10" s="110"/>
      <c r="Q10" s="110"/>
      <c r="R10" s="74"/>
      <c r="W10" s="74"/>
      <c r="X10" s="74"/>
    </row>
    <row r="11" spans="2:25" x14ac:dyDescent="0.15">
      <c r="B11" s="117"/>
      <c r="C11" s="96" t="str">
        <f>IF(B11="","",INDEX(A152:A162,B11,1))</f>
        <v/>
      </c>
      <c r="D11" s="96" t="str">
        <f>IF(C11="","",INDEX(B152:B162,C11,1))</f>
        <v/>
      </c>
      <c r="E11" s="96" t="str">
        <f>IF(D11="","",INDEX(C152:C162,D11,1))</f>
        <v/>
      </c>
      <c r="F11" s="121" t="s">
        <v>86</v>
      </c>
      <c r="G11" s="119"/>
      <c r="I11" s="120"/>
      <c r="J11" s="120"/>
      <c r="K11" s="110"/>
      <c r="L11" s="110"/>
      <c r="M11" s="110"/>
      <c r="N11" s="110"/>
      <c r="O11" s="110"/>
      <c r="P11" s="110"/>
      <c r="Q11" s="110"/>
      <c r="R11" s="74"/>
      <c r="W11" s="74"/>
      <c r="X11" s="74"/>
    </row>
    <row r="12" spans="2:25" ht="14.25" thickBot="1" x14ac:dyDescent="0.2">
      <c r="B12" s="317"/>
      <c r="F12" s="96"/>
      <c r="G12" s="119"/>
      <c r="H12" s="122"/>
      <c r="I12" s="120"/>
      <c r="J12" s="120"/>
      <c r="K12" s="110"/>
      <c r="L12" s="110"/>
      <c r="M12" s="110"/>
      <c r="N12" s="110"/>
      <c r="O12" s="110"/>
      <c r="P12" s="110"/>
      <c r="Q12" s="110"/>
      <c r="R12" s="74"/>
      <c r="W12" s="74"/>
      <c r="X12" s="74"/>
    </row>
    <row r="13" spans="2:25" s="123" customFormat="1" ht="15.75" customHeight="1" x14ac:dyDescent="0.15">
      <c r="B13" s="124"/>
      <c r="C13" s="125" t="s">
        <v>87</v>
      </c>
      <c r="D13" s="126" t="s">
        <v>88</v>
      </c>
      <c r="E13" s="127" t="s">
        <v>89</v>
      </c>
      <c r="F13" s="128" t="s">
        <v>90</v>
      </c>
      <c r="G13" s="129" t="s">
        <v>91</v>
      </c>
      <c r="H13" s="130" t="s">
        <v>92</v>
      </c>
      <c r="I13" s="383"/>
      <c r="J13" s="413"/>
      <c r="K13" s="130" t="s">
        <v>92</v>
      </c>
      <c r="L13" s="383"/>
      <c r="M13" s="413"/>
      <c r="N13" s="130" t="s">
        <v>92</v>
      </c>
      <c r="O13" s="383"/>
      <c r="P13" s="413"/>
      <c r="Q13" s="131" t="s">
        <v>93</v>
      </c>
      <c r="R13" s="132"/>
      <c r="S13" s="133"/>
      <c r="T13" s="134"/>
      <c r="U13" s="134" t="s">
        <v>281</v>
      </c>
      <c r="V13" s="189"/>
      <c r="W13" s="189"/>
      <c r="X13" s="190"/>
    </row>
    <row r="14" spans="2:25" s="123" customFormat="1" ht="15.75" customHeight="1" thickBot="1" x14ac:dyDescent="0.2">
      <c r="B14" s="135"/>
      <c r="C14" s="136" t="s">
        <v>94</v>
      </c>
      <c r="D14" s="137" t="s">
        <v>95</v>
      </c>
      <c r="E14" s="137"/>
      <c r="F14" s="138" t="s">
        <v>96</v>
      </c>
      <c r="G14" s="139"/>
      <c r="H14" s="140" t="s">
        <v>97</v>
      </c>
      <c r="I14" s="384" t="s">
        <v>98</v>
      </c>
      <c r="J14" s="414"/>
      <c r="K14" s="140" t="s">
        <v>97</v>
      </c>
      <c r="L14" s="384" t="s">
        <v>98</v>
      </c>
      <c r="M14" s="414"/>
      <c r="N14" s="140" t="s">
        <v>97</v>
      </c>
      <c r="O14" s="396" t="s">
        <v>98</v>
      </c>
      <c r="P14" s="424"/>
      <c r="Q14" s="141" t="s">
        <v>99</v>
      </c>
      <c r="R14" s="132"/>
      <c r="S14" s="191"/>
      <c r="T14" s="193"/>
      <c r="U14" s="193" t="s">
        <v>282</v>
      </c>
      <c r="V14" s="192"/>
      <c r="W14" s="192"/>
      <c r="X14" s="194"/>
    </row>
    <row r="15" spans="2:25" s="123" customFormat="1" ht="15.75" customHeight="1" thickTop="1" x14ac:dyDescent="0.15">
      <c r="B15" s="142"/>
      <c r="C15" s="143"/>
      <c r="D15" s="144"/>
      <c r="E15" s="145" t="s">
        <v>100</v>
      </c>
      <c r="F15" s="143"/>
      <c r="G15" s="146"/>
      <c r="H15" s="147"/>
      <c r="I15" s="382"/>
      <c r="J15" s="415"/>
      <c r="K15" s="147"/>
      <c r="L15" s="382"/>
      <c r="M15" s="415"/>
      <c r="N15" s="147"/>
      <c r="O15" s="382"/>
      <c r="P15" s="506"/>
      <c r="Q15" s="148"/>
      <c r="S15" s="456"/>
      <c r="T15" s="457"/>
      <c r="U15" s="458"/>
      <c r="V15" s="459"/>
      <c r="W15" s="460"/>
      <c r="X15" s="461"/>
    </row>
    <row r="16" spans="2:25" ht="15.75" customHeight="1" x14ac:dyDescent="0.15">
      <c r="B16" s="149" t="s">
        <v>101</v>
      </c>
      <c r="C16" s="150"/>
      <c r="D16" s="151"/>
      <c r="E16" s="152"/>
      <c r="F16" s="153"/>
      <c r="G16" s="154"/>
      <c r="H16" s="155"/>
      <c r="I16" s="379" t="str">
        <f>IF($H16="","",$F16*$H16/G16)</f>
        <v/>
      </c>
      <c r="J16" s="416"/>
      <c r="K16" s="155"/>
      <c r="L16" s="379" t="str">
        <f>IF($K16="","",$F16*$K16/G16)</f>
        <v/>
      </c>
      <c r="M16" s="416"/>
      <c r="N16" s="155"/>
      <c r="O16" s="379" t="str">
        <f>IF($N16="","",$F16*$N16/G16)</f>
        <v/>
      </c>
      <c r="P16" s="416"/>
      <c r="Q16" s="156"/>
      <c r="S16" s="462"/>
      <c r="T16" s="463"/>
      <c r="U16" s="464"/>
      <c r="V16" s="463"/>
      <c r="W16" s="464"/>
      <c r="X16" s="465"/>
    </row>
    <row r="17" spans="2:24" ht="15.75" customHeight="1" x14ac:dyDescent="0.15">
      <c r="B17" s="149" t="s">
        <v>102</v>
      </c>
      <c r="C17" s="150"/>
      <c r="D17" s="157"/>
      <c r="E17" s="152"/>
      <c r="F17" s="153"/>
      <c r="G17" s="154"/>
      <c r="H17" s="155"/>
      <c r="I17" s="379" t="str">
        <f t="shared" ref="I17:I80" si="0">IF($H17="","",$F17*$H17/G17)</f>
        <v/>
      </c>
      <c r="J17" s="416"/>
      <c r="K17" s="155"/>
      <c r="L17" s="379" t="str">
        <f t="shared" ref="L17:L80" si="1">IF($K17="","",$F17*$K17/G17)</f>
        <v/>
      </c>
      <c r="M17" s="416"/>
      <c r="N17" s="155"/>
      <c r="O17" s="379" t="str">
        <f>IF($N17="","",$F17*$N17/G17)</f>
        <v/>
      </c>
      <c r="P17" s="416"/>
      <c r="Q17" s="156"/>
      <c r="S17" s="452"/>
      <c r="T17" s="453"/>
      <c r="U17" s="431"/>
      <c r="V17" s="453"/>
      <c r="W17" s="431"/>
      <c r="X17" s="432"/>
    </row>
    <row r="18" spans="2:24" ht="15.75" customHeight="1" x14ac:dyDescent="0.15">
      <c r="B18" s="149" t="s">
        <v>103</v>
      </c>
      <c r="C18" s="150"/>
      <c r="D18" s="157"/>
      <c r="E18" s="152"/>
      <c r="F18" s="153"/>
      <c r="G18" s="154"/>
      <c r="H18" s="155"/>
      <c r="I18" s="379" t="str">
        <f t="shared" si="0"/>
        <v/>
      </c>
      <c r="J18" s="416"/>
      <c r="K18" s="155"/>
      <c r="L18" s="379" t="str">
        <f t="shared" si="1"/>
        <v/>
      </c>
      <c r="M18" s="416"/>
      <c r="N18" s="155"/>
      <c r="O18" s="379" t="str">
        <f t="shared" ref="O18:O81" si="2">IF($N18="","",$F18*$N18/G18)</f>
        <v/>
      </c>
      <c r="P18" s="416"/>
      <c r="Q18" s="156"/>
      <c r="S18" s="448"/>
      <c r="T18" s="454"/>
      <c r="U18" s="433"/>
      <c r="V18" s="454"/>
      <c r="W18" s="433"/>
      <c r="X18" s="434"/>
    </row>
    <row r="19" spans="2:24" ht="15.75" customHeight="1" x14ac:dyDescent="0.15">
      <c r="B19" s="149" t="s">
        <v>104</v>
      </c>
      <c r="C19" s="150"/>
      <c r="D19" s="157"/>
      <c r="E19" s="152"/>
      <c r="F19" s="153"/>
      <c r="G19" s="154"/>
      <c r="H19" s="155"/>
      <c r="I19" s="379" t="str">
        <f t="shared" si="0"/>
        <v/>
      </c>
      <c r="J19" s="416"/>
      <c r="K19" s="155"/>
      <c r="L19" s="379" t="str">
        <f t="shared" si="1"/>
        <v/>
      </c>
      <c r="M19" s="416"/>
      <c r="N19" s="155"/>
      <c r="O19" s="379" t="str">
        <f t="shared" si="2"/>
        <v/>
      </c>
      <c r="P19" s="416"/>
      <c r="Q19" s="156"/>
      <c r="S19" s="448"/>
      <c r="T19" s="454"/>
      <c r="U19" s="433"/>
      <c r="V19" s="454"/>
      <c r="W19" s="433"/>
      <c r="X19" s="434"/>
    </row>
    <row r="20" spans="2:24" ht="15.75" customHeight="1" x14ac:dyDescent="0.15">
      <c r="B20" s="149" t="s">
        <v>105</v>
      </c>
      <c r="C20" s="150"/>
      <c r="D20" s="157"/>
      <c r="E20" s="152"/>
      <c r="F20" s="153"/>
      <c r="G20" s="154"/>
      <c r="H20" s="155"/>
      <c r="I20" s="379" t="str">
        <f t="shared" si="0"/>
        <v/>
      </c>
      <c r="J20" s="416"/>
      <c r="K20" s="155"/>
      <c r="L20" s="379" t="str">
        <f t="shared" si="1"/>
        <v/>
      </c>
      <c r="M20" s="416"/>
      <c r="N20" s="155"/>
      <c r="O20" s="379" t="str">
        <f t="shared" si="2"/>
        <v/>
      </c>
      <c r="P20" s="416"/>
      <c r="Q20" s="156"/>
      <c r="S20" s="448"/>
      <c r="T20" s="454"/>
      <c r="U20" s="433"/>
      <c r="V20" s="454"/>
      <c r="W20" s="433"/>
      <c r="X20" s="434"/>
    </row>
    <row r="21" spans="2:24" ht="15.75" customHeight="1" x14ac:dyDescent="0.15">
      <c r="B21" s="149" t="s">
        <v>106</v>
      </c>
      <c r="C21" s="150"/>
      <c r="D21" s="157"/>
      <c r="E21" s="152"/>
      <c r="F21" s="153"/>
      <c r="G21" s="154"/>
      <c r="H21" s="155"/>
      <c r="I21" s="379" t="str">
        <f t="shared" si="0"/>
        <v/>
      </c>
      <c r="J21" s="416"/>
      <c r="K21" s="155"/>
      <c r="L21" s="379" t="str">
        <f t="shared" si="1"/>
        <v/>
      </c>
      <c r="M21" s="416"/>
      <c r="N21" s="155"/>
      <c r="O21" s="379" t="str">
        <f t="shared" si="2"/>
        <v/>
      </c>
      <c r="P21" s="416"/>
      <c r="Q21" s="156"/>
      <c r="S21" s="448"/>
      <c r="T21" s="454"/>
      <c r="U21" s="433"/>
      <c r="V21" s="454"/>
      <c r="W21" s="433"/>
      <c r="X21" s="434"/>
    </row>
    <row r="22" spans="2:24" ht="15.75" customHeight="1" x14ac:dyDescent="0.15">
      <c r="B22" s="149" t="s">
        <v>107</v>
      </c>
      <c r="C22" s="150"/>
      <c r="D22" s="157"/>
      <c r="E22" s="152"/>
      <c r="F22" s="153"/>
      <c r="G22" s="154"/>
      <c r="H22" s="155"/>
      <c r="I22" s="379" t="str">
        <f t="shared" si="0"/>
        <v/>
      </c>
      <c r="J22" s="416"/>
      <c r="K22" s="155"/>
      <c r="L22" s="379" t="str">
        <f t="shared" si="1"/>
        <v/>
      </c>
      <c r="M22" s="416"/>
      <c r="N22" s="155"/>
      <c r="O22" s="379" t="str">
        <f t="shared" si="2"/>
        <v/>
      </c>
      <c r="P22" s="416"/>
      <c r="Q22" s="156"/>
      <c r="S22" s="448"/>
      <c r="T22" s="454"/>
      <c r="U22" s="433"/>
      <c r="V22" s="454"/>
      <c r="W22" s="433"/>
      <c r="X22" s="434"/>
    </row>
    <row r="23" spans="2:24" ht="15.75" customHeight="1" x14ac:dyDescent="0.15">
      <c r="B23" s="149" t="s">
        <v>108</v>
      </c>
      <c r="C23" s="150"/>
      <c r="D23" s="157"/>
      <c r="E23" s="152"/>
      <c r="F23" s="153"/>
      <c r="G23" s="154"/>
      <c r="H23" s="155"/>
      <c r="I23" s="379" t="str">
        <f t="shared" si="0"/>
        <v/>
      </c>
      <c r="J23" s="416"/>
      <c r="K23" s="155"/>
      <c r="L23" s="379" t="str">
        <f t="shared" si="1"/>
        <v/>
      </c>
      <c r="M23" s="416"/>
      <c r="N23" s="155"/>
      <c r="O23" s="379" t="str">
        <f t="shared" si="2"/>
        <v/>
      </c>
      <c r="P23" s="416"/>
      <c r="Q23" s="156"/>
      <c r="S23" s="448"/>
      <c r="T23" s="454"/>
      <c r="U23" s="433"/>
      <c r="V23" s="454"/>
      <c r="W23" s="433"/>
      <c r="X23" s="434"/>
    </row>
    <row r="24" spans="2:24" ht="15.75" customHeight="1" x14ac:dyDescent="0.15">
      <c r="B24" s="149" t="s">
        <v>109</v>
      </c>
      <c r="C24" s="150"/>
      <c r="D24" s="157"/>
      <c r="E24" s="152"/>
      <c r="F24" s="153"/>
      <c r="G24" s="154"/>
      <c r="H24" s="155"/>
      <c r="I24" s="379" t="str">
        <f t="shared" si="0"/>
        <v/>
      </c>
      <c r="J24" s="416"/>
      <c r="K24" s="155"/>
      <c r="L24" s="379" t="str">
        <f t="shared" si="1"/>
        <v/>
      </c>
      <c r="M24" s="416"/>
      <c r="N24" s="155"/>
      <c r="O24" s="379" t="str">
        <f t="shared" si="2"/>
        <v/>
      </c>
      <c r="P24" s="416"/>
      <c r="Q24" s="156"/>
      <c r="S24" s="448"/>
      <c r="T24" s="454"/>
      <c r="U24" s="433"/>
      <c r="V24" s="454"/>
      <c r="W24" s="433"/>
      <c r="X24" s="434"/>
    </row>
    <row r="25" spans="2:24" ht="15.75" customHeight="1" x14ac:dyDescent="0.15">
      <c r="B25" s="149" t="s">
        <v>110</v>
      </c>
      <c r="C25" s="150"/>
      <c r="D25" s="157"/>
      <c r="E25" s="152"/>
      <c r="F25" s="153"/>
      <c r="G25" s="154"/>
      <c r="H25" s="155"/>
      <c r="I25" s="379" t="str">
        <f t="shared" si="0"/>
        <v/>
      </c>
      <c r="J25" s="416"/>
      <c r="K25" s="155"/>
      <c r="L25" s="379" t="str">
        <f t="shared" si="1"/>
        <v/>
      </c>
      <c r="M25" s="416"/>
      <c r="N25" s="155"/>
      <c r="O25" s="379" t="str">
        <f t="shared" si="2"/>
        <v/>
      </c>
      <c r="P25" s="416"/>
      <c r="Q25" s="156"/>
      <c r="S25" s="448"/>
      <c r="T25" s="454"/>
      <c r="U25" s="433"/>
      <c r="V25" s="454"/>
      <c r="W25" s="433"/>
      <c r="X25" s="434"/>
    </row>
    <row r="26" spans="2:24" ht="15.75" customHeight="1" x14ac:dyDescent="0.15">
      <c r="B26" s="149" t="s">
        <v>111</v>
      </c>
      <c r="C26" s="150"/>
      <c r="D26" s="157"/>
      <c r="E26" s="152"/>
      <c r="F26" s="153"/>
      <c r="G26" s="154"/>
      <c r="H26" s="155"/>
      <c r="I26" s="379" t="str">
        <f t="shared" si="0"/>
        <v/>
      </c>
      <c r="J26" s="416"/>
      <c r="K26" s="155"/>
      <c r="L26" s="379" t="str">
        <f t="shared" si="1"/>
        <v/>
      </c>
      <c r="M26" s="416"/>
      <c r="N26" s="155"/>
      <c r="O26" s="379" t="str">
        <f t="shared" si="2"/>
        <v/>
      </c>
      <c r="P26" s="416"/>
      <c r="Q26" s="156"/>
      <c r="S26" s="448"/>
      <c r="T26" s="454"/>
      <c r="U26" s="433"/>
      <c r="V26" s="454"/>
      <c r="W26" s="433"/>
      <c r="X26" s="434"/>
    </row>
    <row r="27" spans="2:24" ht="15.75" customHeight="1" x14ac:dyDescent="0.15">
      <c r="B27" s="149" t="s">
        <v>112</v>
      </c>
      <c r="C27" s="150"/>
      <c r="D27" s="157"/>
      <c r="E27" s="152"/>
      <c r="F27" s="153"/>
      <c r="G27" s="154"/>
      <c r="H27" s="155"/>
      <c r="I27" s="379" t="str">
        <f t="shared" si="0"/>
        <v/>
      </c>
      <c r="J27" s="416"/>
      <c r="K27" s="155"/>
      <c r="L27" s="379" t="str">
        <f t="shared" si="1"/>
        <v/>
      </c>
      <c r="M27" s="416"/>
      <c r="N27" s="155"/>
      <c r="O27" s="379" t="str">
        <f t="shared" si="2"/>
        <v/>
      </c>
      <c r="P27" s="416"/>
      <c r="Q27" s="156"/>
      <c r="S27" s="448"/>
      <c r="T27" s="454"/>
      <c r="U27" s="433"/>
      <c r="V27" s="454"/>
      <c r="W27" s="433"/>
      <c r="X27" s="434"/>
    </row>
    <row r="28" spans="2:24" ht="15.75" customHeight="1" x14ac:dyDescent="0.15">
      <c r="B28" s="149" t="s">
        <v>113</v>
      </c>
      <c r="C28" s="150"/>
      <c r="D28" s="157"/>
      <c r="E28" s="152"/>
      <c r="F28" s="153"/>
      <c r="G28" s="154"/>
      <c r="H28" s="155"/>
      <c r="I28" s="379" t="str">
        <f t="shared" si="0"/>
        <v/>
      </c>
      <c r="J28" s="416"/>
      <c r="K28" s="155"/>
      <c r="L28" s="379" t="str">
        <f t="shared" si="1"/>
        <v/>
      </c>
      <c r="M28" s="416"/>
      <c r="N28" s="155"/>
      <c r="O28" s="379" t="str">
        <f t="shared" si="2"/>
        <v/>
      </c>
      <c r="P28" s="416"/>
      <c r="Q28" s="156"/>
      <c r="S28" s="448"/>
      <c r="T28" s="454"/>
      <c r="U28" s="433"/>
      <c r="V28" s="454"/>
      <c r="W28" s="433"/>
      <c r="X28" s="434"/>
    </row>
    <row r="29" spans="2:24" ht="15.75" customHeight="1" x14ac:dyDescent="0.15">
      <c r="B29" s="149" t="s">
        <v>114</v>
      </c>
      <c r="C29" s="150"/>
      <c r="D29" s="157"/>
      <c r="E29" s="152"/>
      <c r="F29" s="153"/>
      <c r="G29" s="154"/>
      <c r="H29" s="155"/>
      <c r="I29" s="379" t="str">
        <f t="shared" si="0"/>
        <v/>
      </c>
      <c r="J29" s="416"/>
      <c r="K29" s="155"/>
      <c r="L29" s="379" t="str">
        <f t="shared" si="1"/>
        <v/>
      </c>
      <c r="M29" s="416"/>
      <c r="N29" s="155"/>
      <c r="O29" s="379" t="str">
        <f t="shared" si="2"/>
        <v/>
      </c>
      <c r="P29" s="416"/>
      <c r="Q29" s="156"/>
      <c r="S29" s="448"/>
      <c r="T29" s="454"/>
      <c r="U29" s="433"/>
      <c r="V29" s="454"/>
      <c r="W29" s="433"/>
      <c r="X29" s="434"/>
    </row>
    <row r="30" spans="2:24" ht="15.75" customHeight="1" x14ac:dyDescent="0.15">
      <c r="B30" s="149" t="s">
        <v>115</v>
      </c>
      <c r="C30" s="150"/>
      <c r="D30" s="157"/>
      <c r="E30" s="152"/>
      <c r="F30" s="153"/>
      <c r="G30" s="154"/>
      <c r="H30" s="155"/>
      <c r="I30" s="379" t="str">
        <f t="shared" si="0"/>
        <v/>
      </c>
      <c r="J30" s="416"/>
      <c r="K30" s="155"/>
      <c r="L30" s="379" t="str">
        <f t="shared" si="1"/>
        <v/>
      </c>
      <c r="M30" s="416"/>
      <c r="N30" s="155"/>
      <c r="O30" s="379" t="str">
        <f t="shared" si="2"/>
        <v/>
      </c>
      <c r="P30" s="416"/>
      <c r="Q30" s="156"/>
      <c r="S30" s="448"/>
      <c r="T30" s="454"/>
      <c r="U30" s="433"/>
      <c r="V30" s="454"/>
      <c r="W30" s="433"/>
      <c r="X30" s="434"/>
    </row>
    <row r="31" spans="2:24" ht="15.75" customHeight="1" x14ac:dyDescent="0.15">
      <c r="B31" s="149" t="s">
        <v>116</v>
      </c>
      <c r="C31" s="150"/>
      <c r="D31" s="157"/>
      <c r="E31" s="152"/>
      <c r="F31" s="153"/>
      <c r="G31" s="154"/>
      <c r="H31" s="155"/>
      <c r="I31" s="379" t="str">
        <f t="shared" si="0"/>
        <v/>
      </c>
      <c r="J31" s="416"/>
      <c r="K31" s="155"/>
      <c r="L31" s="379" t="str">
        <f t="shared" si="1"/>
        <v/>
      </c>
      <c r="M31" s="416"/>
      <c r="N31" s="155"/>
      <c r="O31" s="379" t="str">
        <f t="shared" si="2"/>
        <v/>
      </c>
      <c r="P31" s="416"/>
      <c r="Q31" s="156"/>
      <c r="S31" s="448"/>
      <c r="T31" s="454"/>
      <c r="U31" s="433"/>
      <c r="V31" s="454"/>
      <c r="W31" s="433"/>
      <c r="X31" s="434"/>
    </row>
    <row r="32" spans="2:24" ht="15.75" customHeight="1" x14ac:dyDescent="0.15">
      <c r="B32" s="149" t="s">
        <v>117</v>
      </c>
      <c r="C32" s="150"/>
      <c r="D32" s="157"/>
      <c r="E32" s="152"/>
      <c r="F32" s="153"/>
      <c r="G32" s="154"/>
      <c r="H32" s="155"/>
      <c r="I32" s="379" t="str">
        <f t="shared" si="0"/>
        <v/>
      </c>
      <c r="J32" s="416"/>
      <c r="K32" s="155"/>
      <c r="L32" s="379" t="str">
        <f t="shared" si="1"/>
        <v/>
      </c>
      <c r="M32" s="416"/>
      <c r="N32" s="155"/>
      <c r="O32" s="379" t="str">
        <f t="shared" si="2"/>
        <v/>
      </c>
      <c r="P32" s="416"/>
      <c r="Q32" s="156"/>
      <c r="S32" s="448"/>
      <c r="T32" s="454"/>
      <c r="U32" s="433"/>
      <c r="V32" s="454"/>
      <c r="W32" s="433"/>
      <c r="X32" s="434"/>
    </row>
    <row r="33" spans="2:24" ht="15.75" customHeight="1" x14ac:dyDescent="0.15">
      <c r="B33" s="149" t="s">
        <v>118</v>
      </c>
      <c r="C33" s="150"/>
      <c r="D33" s="157"/>
      <c r="E33" s="152"/>
      <c r="F33" s="153"/>
      <c r="G33" s="154"/>
      <c r="H33" s="155"/>
      <c r="I33" s="379" t="str">
        <f t="shared" si="0"/>
        <v/>
      </c>
      <c r="J33" s="416"/>
      <c r="K33" s="155"/>
      <c r="L33" s="379" t="str">
        <f t="shared" si="1"/>
        <v/>
      </c>
      <c r="M33" s="416"/>
      <c r="N33" s="155"/>
      <c r="O33" s="379" t="str">
        <f t="shared" si="2"/>
        <v/>
      </c>
      <c r="P33" s="416"/>
      <c r="Q33" s="156"/>
      <c r="S33" s="448"/>
      <c r="T33" s="454"/>
      <c r="U33" s="433"/>
      <c r="V33" s="454"/>
      <c r="W33" s="433"/>
      <c r="X33" s="434"/>
    </row>
    <row r="34" spans="2:24" ht="15.75" customHeight="1" x14ac:dyDescent="0.15">
      <c r="B34" s="149" t="s">
        <v>119</v>
      </c>
      <c r="C34" s="150"/>
      <c r="D34" s="157"/>
      <c r="E34" s="152"/>
      <c r="F34" s="153"/>
      <c r="G34" s="154"/>
      <c r="H34" s="155"/>
      <c r="I34" s="379" t="str">
        <f t="shared" si="0"/>
        <v/>
      </c>
      <c r="J34" s="416"/>
      <c r="K34" s="155"/>
      <c r="L34" s="379" t="str">
        <f t="shared" si="1"/>
        <v/>
      </c>
      <c r="M34" s="416"/>
      <c r="N34" s="155"/>
      <c r="O34" s="379" t="str">
        <f t="shared" si="2"/>
        <v/>
      </c>
      <c r="P34" s="416"/>
      <c r="Q34" s="156"/>
      <c r="S34" s="448"/>
      <c r="T34" s="454"/>
      <c r="U34" s="433"/>
      <c r="V34" s="454"/>
      <c r="W34" s="433"/>
      <c r="X34" s="434"/>
    </row>
    <row r="35" spans="2:24" ht="15.75" customHeight="1" x14ac:dyDescent="0.15">
      <c r="B35" s="149" t="s">
        <v>120</v>
      </c>
      <c r="C35" s="150"/>
      <c r="D35" s="157"/>
      <c r="E35" s="152"/>
      <c r="F35" s="153"/>
      <c r="G35" s="154"/>
      <c r="H35" s="155"/>
      <c r="I35" s="379" t="str">
        <f t="shared" si="0"/>
        <v/>
      </c>
      <c r="J35" s="416"/>
      <c r="K35" s="155"/>
      <c r="L35" s="379" t="str">
        <f t="shared" si="1"/>
        <v/>
      </c>
      <c r="M35" s="416"/>
      <c r="N35" s="155"/>
      <c r="O35" s="379" t="str">
        <f t="shared" si="2"/>
        <v/>
      </c>
      <c r="P35" s="416"/>
      <c r="Q35" s="156"/>
      <c r="S35" s="448"/>
      <c r="T35" s="454"/>
      <c r="U35" s="433"/>
      <c r="V35" s="454"/>
      <c r="W35" s="433"/>
      <c r="X35" s="434"/>
    </row>
    <row r="36" spans="2:24" ht="15.75" customHeight="1" x14ac:dyDescent="0.15">
      <c r="B36" s="149" t="s">
        <v>121</v>
      </c>
      <c r="C36" s="150"/>
      <c r="D36" s="157"/>
      <c r="E36" s="152"/>
      <c r="F36" s="153"/>
      <c r="G36" s="154"/>
      <c r="H36" s="155"/>
      <c r="I36" s="379" t="str">
        <f t="shared" si="0"/>
        <v/>
      </c>
      <c r="J36" s="416"/>
      <c r="K36" s="155"/>
      <c r="L36" s="379" t="str">
        <f t="shared" si="1"/>
        <v/>
      </c>
      <c r="M36" s="416"/>
      <c r="N36" s="155"/>
      <c r="O36" s="379" t="str">
        <f t="shared" si="2"/>
        <v/>
      </c>
      <c r="P36" s="416"/>
      <c r="Q36" s="156"/>
      <c r="S36" s="448"/>
      <c r="T36" s="454"/>
      <c r="U36" s="433"/>
      <c r="V36" s="454"/>
      <c r="W36" s="433"/>
      <c r="X36" s="434"/>
    </row>
    <row r="37" spans="2:24" ht="15.75" customHeight="1" x14ac:dyDescent="0.15">
      <c r="B37" s="149" t="s">
        <v>122</v>
      </c>
      <c r="C37" s="150"/>
      <c r="D37" s="157"/>
      <c r="E37" s="152"/>
      <c r="F37" s="153"/>
      <c r="G37" s="154"/>
      <c r="H37" s="155"/>
      <c r="I37" s="379" t="str">
        <f t="shared" si="0"/>
        <v/>
      </c>
      <c r="J37" s="416"/>
      <c r="K37" s="155"/>
      <c r="L37" s="379" t="str">
        <f t="shared" si="1"/>
        <v/>
      </c>
      <c r="M37" s="416"/>
      <c r="N37" s="155"/>
      <c r="O37" s="379" t="str">
        <f t="shared" si="2"/>
        <v/>
      </c>
      <c r="P37" s="416"/>
      <c r="Q37" s="156"/>
      <c r="S37" s="448"/>
      <c r="T37" s="454"/>
      <c r="U37" s="433"/>
      <c r="V37" s="454"/>
      <c r="W37" s="433"/>
      <c r="X37" s="434"/>
    </row>
    <row r="38" spans="2:24" ht="15.75" customHeight="1" x14ac:dyDescent="0.15">
      <c r="B38" s="149" t="s">
        <v>123</v>
      </c>
      <c r="C38" s="150"/>
      <c r="D38" s="157"/>
      <c r="E38" s="152"/>
      <c r="F38" s="153"/>
      <c r="G38" s="154"/>
      <c r="H38" s="155"/>
      <c r="I38" s="379" t="str">
        <f t="shared" si="0"/>
        <v/>
      </c>
      <c r="J38" s="416"/>
      <c r="K38" s="155"/>
      <c r="L38" s="379" t="str">
        <f t="shared" si="1"/>
        <v/>
      </c>
      <c r="M38" s="416"/>
      <c r="N38" s="155"/>
      <c r="O38" s="379" t="str">
        <f t="shared" si="2"/>
        <v/>
      </c>
      <c r="P38" s="416"/>
      <c r="Q38" s="156"/>
      <c r="S38" s="448"/>
      <c r="T38" s="454"/>
      <c r="U38" s="433"/>
      <c r="V38" s="454"/>
      <c r="W38" s="433"/>
      <c r="X38" s="434"/>
    </row>
    <row r="39" spans="2:24" ht="15.75" customHeight="1" x14ac:dyDescent="0.15">
      <c r="B39" s="149" t="s">
        <v>124</v>
      </c>
      <c r="C39" s="150"/>
      <c r="D39" s="157"/>
      <c r="E39" s="152"/>
      <c r="F39" s="153"/>
      <c r="G39" s="154"/>
      <c r="H39" s="155"/>
      <c r="I39" s="379" t="str">
        <f t="shared" si="0"/>
        <v/>
      </c>
      <c r="J39" s="416"/>
      <c r="K39" s="155"/>
      <c r="L39" s="379" t="str">
        <f t="shared" si="1"/>
        <v/>
      </c>
      <c r="M39" s="416"/>
      <c r="N39" s="155"/>
      <c r="O39" s="379" t="str">
        <f t="shared" si="2"/>
        <v/>
      </c>
      <c r="P39" s="416"/>
      <c r="Q39" s="156"/>
      <c r="S39" s="448"/>
      <c r="T39" s="454"/>
      <c r="U39" s="433"/>
      <c r="V39" s="454"/>
      <c r="W39" s="433"/>
      <c r="X39" s="434"/>
    </row>
    <row r="40" spans="2:24" ht="15.75" customHeight="1" x14ac:dyDescent="0.15">
      <c r="B40" s="149" t="s">
        <v>125</v>
      </c>
      <c r="C40" s="150"/>
      <c r="D40" s="157"/>
      <c r="E40" s="152"/>
      <c r="F40" s="153"/>
      <c r="G40" s="154"/>
      <c r="H40" s="155"/>
      <c r="I40" s="379" t="str">
        <f t="shared" si="0"/>
        <v/>
      </c>
      <c r="J40" s="416"/>
      <c r="K40" s="155"/>
      <c r="L40" s="379" t="str">
        <f t="shared" si="1"/>
        <v/>
      </c>
      <c r="M40" s="416"/>
      <c r="N40" s="155"/>
      <c r="O40" s="379" t="str">
        <f t="shared" si="2"/>
        <v/>
      </c>
      <c r="P40" s="416"/>
      <c r="Q40" s="156"/>
      <c r="S40" s="448"/>
      <c r="T40" s="454"/>
      <c r="U40" s="433"/>
      <c r="V40" s="454"/>
      <c r="W40" s="433"/>
      <c r="X40" s="434"/>
    </row>
    <row r="41" spans="2:24" ht="15.75" customHeight="1" x14ac:dyDescent="0.15">
      <c r="B41" s="149" t="s">
        <v>126</v>
      </c>
      <c r="C41" s="150"/>
      <c r="D41" s="157"/>
      <c r="E41" s="152"/>
      <c r="F41" s="153"/>
      <c r="G41" s="154"/>
      <c r="H41" s="155"/>
      <c r="I41" s="379" t="str">
        <f t="shared" si="0"/>
        <v/>
      </c>
      <c r="J41" s="416"/>
      <c r="K41" s="155"/>
      <c r="L41" s="379" t="str">
        <f t="shared" si="1"/>
        <v/>
      </c>
      <c r="M41" s="416"/>
      <c r="N41" s="155"/>
      <c r="O41" s="379" t="str">
        <f t="shared" si="2"/>
        <v/>
      </c>
      <c r="P41" s="416"/>
      <c r="Q41" s="156"/>
      <c r="S41" s="448"/>
      <c r="T41" s="454"/>
      <c r="U41" s="433"/>
      <c r="V41" s="454"/>
      <c r="W41" s="433"/>
      <c r="X41" s="434"/>
    </row>
    <row r="42" spans="2:24" ht="15.75" customHeight="1" x14ac:dyDescent="0.15">
      <c r="B42" s="149" t="s">
        <v>127</v>
      </c>
      <c r="C42" s="150"/>
      <c r="D42" s="157"/>
      <c r="E42" s="152"/>
      <c r="F42" s="153"/>
      <c r="G42" s="154"/>
      <c r="H42" s="155"/>
      <c r="I42" s="379" t="str">
        <f t="shared" si="0"/>
        <v/>
      </c>
      <c r="J42" s="416"/>
      <c r="K42" s="155"/>
      <c r="L42" s="379" t="str">
        <f t="shared" si="1"/>
        <v/>
      </c>
      <c r="M42" s="416"/>
      <c r="N42" s="155"/>
      <c r="O42" s="379" t="str">
        <f t="shared" si="2"/>
        <v/>
      </c>
      <c r="P42" s="416"/>
      <c r="Q42" s="156"/>
      <c r="S42" s="448"/>
      <c r="T42" s="454"/>
      <c r="U42" s="433"/>
      <c r="V42" s="454"/>
      <c r="W42" s="433"/>
      <c r="X42" s="434"/>
    </row>
    <row r="43" spans="2:24" ht="15.75" customHeight="1" x14ac:dyDescent="0.15">
      <c r="B43" s="149" t="s">
        <v>128</v>
      </c>
      <c r="C43" s="150"/>
      <c r="D43" s="157"/>
      <c r="E43" s="152"/>
      <c r="F43" s="153"/>
      <c r="G43" s="154"/>
      <c r="H43" s="155"/>
      <c r="I43" s="379" t="str">
        <f t="shared" si="0"/>
        <v/>
      </c>
      <c r="J43" s="416"/>
      <c r="K43" s="155"/>
      <c r="L43" s="379" t="str">
        <f t="shared" si="1"/>
        <v/>
      </c>
      <c r="M43" s="416"/>
      <c r="N43" s="155"/>
      <c r="O43" s="379" t="str">
        <f t="shared" si="2"/>
        <v/>
      </c>
      <c r="P43" s="416"/>
      <c r="Q43" s="156"/>
      <c r="S43" s="448"/>
      <c r="T43" s="454"/>
      <c r="U43" s="433"/>
      <c r="V43" s="454"/>
      <c r="W43" s="433"/>
      <c r="X43" s="434"/>
    </row>
    <row r="44" spans="2:24" ht="15.75" customHeight="1" x14ac:dyDescent="0.15">
      <c r="B44" s="149" t="s">
        <v>129</v>
      </c>
      <c r="C44" s="150"/>
      <c r="D44" s="157"/>
      <c r="E44" s="152"/>
      <c r="F44" s="153"/>
      <c r="G44" s="154"/>
      <c r="H44" s="155"/>
      <c r="I44" s="379" t="str">
        <f t="shared" si="0"/>
        <v/>
      </c>
      <c r="J44" s="416"/>
      <c r="K44" s="155"/>
      <c r="L44" s="379" t="str">
        <f t="shared" si="1"/>
        <v/>
      </c>
      <c r="M44" s="416"/>
      <c r="N44" s="155"/>
      <c r="O44" s="379" t="str">
        <f t="shared" si="2"/>
        <v/>
      </c>
      <c r="P44" s="416"/>
      <c r="Q44" s="156"/>
      <c r="S44" s="448"/>
      <c r="T44" s="454"/>
      <c r="U44" s="433"/>
      <c r="V44" s="454"/>
      <c r="W44" s="433"/>
      <c r="X44" s="434"/>
    </row>
    <row r="45" spans="2:24" ht="15.75" customHeight="1" x14ac:dyDescent="0.15">
      <c r="B45" s="149" t="s">
        <v>130</v>
      </c>
      <c r="C45" s="150"/>
      <c r="D45" s="157"/>
      <c r="E45" s="152"/>
      <c r="F45" s="153"/>
      <c r="G45" s="154"/>
      <c r="H45" s="155"/>
      <c r="I45" s="379" t="str">
        <f t="shared" si="0"/>
        <v/>
      </c>
      <c r="J45" s="416"/>
      <c r="K45" s="155"/>
      <c r="L45" s="379" t="str">
        <f t="shared" si="1"/>
        <v/>
      </c>
      <c r="M45" s="416"/>
      <c r="N45" s="155"/>
      <c r="O45" s="379" t="str">
        <f t="shared" si="2"/>
        <v/>
      </c>
      <c r="P45" s="416"/>
      <c r="Q45" s="156"/>
      <c r="S45" s="448"/>
      <c r="T45" s="454"/>
      <c r="U45" s="433"/>
      <c r="V45" s="454"/>
      <c r="W45" s="433"/>
      <c r="X45" s="434"/>
    </row>
    <row r="46" spans="2:24" ht="15.75" customHeight="1" x14ac:dyDescent="0.15">
      <c r="B46" s="149" t="s">
        <v>131</v>
      </c>
      <c r="C46" s="150"/>
      <c r="D46" s="157"/>
      <c r="E46" s="152"/>
      <c r="F46" s="153"/>
      <c r="G46" s="154"/>
      <c r="H46" s="155"/>
      <c r="I46" s="379" t="str">
        <f t="shared" si="0"/>
        <v/>
      </c>
      <c r="J46" s="416"/>
      <c r="K46" s="155"/>
      <c r="L46" s="379" t="str">
        <f t="shared" si="1"/>
        <v/>
      </c>
      <c r="M46" s="416"/>
      <c r="N46" s="155"/>
      <c r="O46" s="379" t="str">
        <f t="shared" si="2"/>
        <v/>
      </c>
      <c r="P46" s="416"/>
      <c r="Q46" s="156"/>
      <c r="S46" s="448"/>
      <c r="T46" s="454"/>
      <c r="U46" s="433"/>
      <c r="V46" s="454"/>
      <c r="W46" s="433"/>
      <c r="X46" s="434"/>
    </row>
    <row r="47" spans="2:24" ht="15.75" customHeight="1" x14ac:dyDescent="0.15">
      <c r="B47" s="149" t="s">
        <v>132</v>
      </c>
      <c r="C47" s="150"/>
      <c r="D47" s="157"/>
      <c r="E47" s="152"/>
      <c r="F47" s="153"/>
      <c r="G47" s="154"/>
      <c r="H47" s="155"/>
      <c r="I47" s="379" t="str">
        <f t="shared" si="0"/>
        <v/>
      </c>
      <c r="J47" s="416"/>
      <c r="K47" s="155"/>
      <c r="L47" s="379" t="str">
        <f t="shared" si="1"/>
        <v/>
      </c>
      <c r="M47" s="416"/>
      <c r="N47" s="155"/>
      <c r="O47" s="379" t="str">
        <f t="shared" si="2"/>
        <v/>
      </c>
      <c r="P47" s="416"/>
      <c r="Q47" s="156"/>
      <c r="S47" s="448"/>
      <c r="T47" s="454"/>
      <c r="U47" s="433"/>
      <c r="V47" s="454"/>
      <c r="W47" s="433"/>
      <c r="X47" s="434"/>
    </row>
    <row r="48" spans="2:24" ht="15.75" customHeight="1" x14ac:dyDescent="0.15">
      <c r="B48" s="149" t="s">
        <v>133</v>
      </c>
      <c r="C48" s="150"/>
      <c r="D48" s="157"/>
      <c r="E48" s="152"/>
      <c r="F48" s="153"/>
      <c r="G48" s="154"/>
      <c r="H48" s="155"/>
      <c r="I48" s="379" t="str">
        <f t="shared" si="0"/>
        <v/>
      </c>
      <c r="J48" s="416"/>
      <c r="K48" s="155"/>
      <c r="L48" s="379" t="str">
        <f t="shared" si="1"/>
        <v/>
      </c>
      <c r="M48" s="416"/>
      <c r="N48" s="155"/>
      <c r="O48" s="379" t="str">
        <f t="shared" si="2"/>
        <v/>
      </c>
      <c r="P48" s="416"/>
      <c r="Q48" s="156"/>
      <c r="S48" s="448"/>
      <c r="T48" s="454"/>
      <c r="U48" s="433"/>
      <c r="V48" s="454"/>
      <c r="W48" s="433"/>
      <c r="X48" s="434"/>
    </row>
    <row r="49" spans="2:24" ht="15.75" customHeight="1" x14ac:dyDescent="0.15">
      <c r="B49" s="149" t="s">
        <v>134</v>
      </c>
      <c r="C49" s="150"/>
      <c r="D49" s="157"/>
      <c r="E49" s="152"/>
      <c r="F49" s="153"/>
      <c r="G49" s="154"/>
      <c r="H49" s="155"/>
      <c r="I49" s="379" t="str">
        <f t="shared" si="0"/>
        <v/>
      </c>
      <c r="J49" s="416"/>
      <c r="K49" s="155"/>
      <c r="L49" s="379" t="str">
        <f t="shared" si="1"/>
        <v/>
      </c>
      <c r="M49" s="416"/>
      <c r="N49" s="155"/>
      <c r="O49" s="379" t="str">
        <f t="shared" si="2"/>
        <v/>
      </c>
      <c r="P49" s="416"/>
      <c r="Q49" s="156"/>
      <c r="S49" s="448"/>
      <c r="T49" s="454"/>
      <c r="U49" s="433"/>
      <c r="V49" s="454"/>
      <c r="W49" s="433"/>
      <c r="X49" s="434"/>
    </row>
    <row r="50" spans="2:24" ht="15.75" customHeight="1" x14ac:dyDescent="0.15">
      <c r="B50" s="149" t="s">
        <v>135</v>
      </c>
      <c r="C50" s="150"/>
      <c r="D50" s="157"/>
      <c r="E50" s="152"/>
      <c r="F50" s="153"/>
      <c r="G50" s="154"/>
      <c r="H50" s="155"/>
      <c r="I50" s="379" t="str">
        <f t="shared" si="0"/>
        <v/>
      </c>
      <c r="J50" s="416"/>
      <c r="K50" s="155"/>
      <c r="L50" s="379" t="str">
        <f t="shared" si="1"/>
        <v/>
      </c>
      <c r="M50" s="416"/>
      <c r="N50" s="155"/>
      <c r="O50" s="379" t="str">
        <f t="shared" si="2"/>
        <v/>
      </c>
      <c r="P50" s="416"/>
      <c r="Q50" s="156"/>
      <c r="S50" s="448"/>
      <c r="T50" s="454"/>
      <c r="U50" s="433"/>
      <c r="V50" s="454"/>
      <c r="W50" s="433"/>
      <c r="X50" s="434"/>
    </row>
    <row r="51" spans="2:24" ht="15.75" customHeight="1" x14ac:dyDescent="0.15">
      <c r="B51" s="149" t="s">
        <v>136</v>
      </c>
      <c r="C51" s="150"/>
      <c r="D51" s="157"/>
      <c r="E51" s="152"/>
      <c r="F51" s="153"/>
      <c r="G51" s="154"/>
      <c r="H51" s="155"/>
      <c r="I51" s="379" t="str">
        <f t="shared" si="0"/>
        <v/>
      </c>
      <c r="J51" s="416"/>
      <c r="K51" s="155"/>
      <c r="L51" s="379" t="str">
        <f t="shared" si="1"/>
        <v/>
      </c>
      <c r="M51" s="416"/>
      <c r="N51" s="155"/>
      <c r="O51" s="379" t="str">
        <f t="shared" si="2"/>
        <v/>
      </c>
      <c r="P51" s="416"/>
      <c r="Q51" s="156"/>
      <c r="S51" s="448"/>
      <c r="T51" s="454"/>
      <c r="U51" s="433"/>
      <c r="V51" s="454"/>
      <c r="W51" s="433"/>
      <c r="X51" s="434"/>
    </row>
    <row r="52" spans="2:24" ht="15.75" customHeight="1" x14ac:dyDescent="0.15">
      <c r="B52" s="149" t="s">
        <v>137</v>
      </c>
      <c r="C52" s="150"/>
      <c r="D52" s="157"/>
      <c r="E52" s="152"/>
      <c r="F52" s="153"/>
      <c r="G52" s="154"/>
      <c r="H52" s="155"/>
      <c r="I52" s="379" t="str">
        <f t="shared" si="0"/>
        <v/>
      </c>
      <c r="J52" s="416"/>
      <c r="K52" s="155"/>
      <c r="L52" s="379" t="str">
        <f t="shared" si="1"/>
        <v/>
      </c>
      <c r="M52" s="416"/>
      <c r="N52" s="155"/>
      <c r="O52" s="379" t="str">
        <f t="shared" si="2"/>
        <v/>
      </c>
      <c r="P52" s="416"/>
      <c r="Q52" s="156"/>
      <c r="S52" s="448"/>
      <c r="T52" s="454"/>
      <c r="U52" s="433"/>
      <c r="V52" s="454"/>
      <c r="W52" s="433"/>
      <c r="X52" s="434"/>
    </row>
    <row r="53" spans="2:24" ht="15.75" customHeight="1" x14ac:dyDescent="0.15">
      <c r="B53" s="149" t="s">
        <v>138</v>
      </c>
      <c r="C53" s="150"/>
      <c r="D53" s="157"/>
      <c r="E53" s="152"/>
      <c r="F53" s="153"/>
      <c r="G53" s="154"/>
      <c r="H53" s="155"/>
      <c r="I53" s="379" t="str">
        <f t="shared" si="0"/>
        <v/>
      </c>
      <c r="J53" s="416"/>
      <c r="K53" s="155"/>
      <c r="L53" s="379" t="str">
        <f t="shared" si="1"/>
        <v/>
      </c>
      <c r="M53" s="416"/>
      <c r="N53" s="155"/>
      <c r="O53" s="379" t="str">
        <f t="shared" si="2"/>
        <v/>
      </c>
      <c r="P53" s="416"/>
      <c r="Q53" s="156"/>
      <c r="S53" s="448"/>
      <c r="T53" s="454"/>
      <c r="U53" s="433"/>
      <c r="V53" s="454"/>
      <c r="W53" s="433"/>
      <c r="X53" s="434"/>
    </row>
    <row r="54" spans="2:24" ht="15.75" customHeight="1" x14ac:dyDescent="0.15">
      <c r="B54" s="149" t="s">
        <v>139</v>
      </c>
      <c r="C54" s="150"/>
      <c r="D54" s="157"/>
      <c r="E54" s="152"/>
      <c r="F54" s="153"/>
      <c r="G54" s="154"/>
      <c r="H54" s="155"/>
      <c r="I54" s="379" t="str">
        <f t="shared" si="0"/>
        <v/>
      </c>
      <c r="J54" s="416"/>
      <c r="K54" s="155"/>
      <c r="L54" s="379" t="str">
        <f t="shared" si="1"/>
        <v/>
      </c>
      <c r="M54" s="416"/>
      <c r="N54" s="155"/>
      <c r="O54" s="379" t="str">
        <f t="shared" si="2"/>
        <v/>
      </c>
      <c r="P54" s="416"/>
      <c r="Q54" s="156"/>
      <c r="S54" s="448"/>
      <c r="T54" s="454"/>
      <c r="U54" s="433"/>
      <c r="V54" s="454"/>
      <c r="W54" s="433"/>
      <c r="X54" s="434"/>
    </row>
    <row r="55" spans="2:24" ht="15.75" customHeight="1" x14ac:dyDescent="0.15">
      <c r="B55" s="149" t="s">
        <v>140</v>
      </c>
      <c r="C55" s="150"/>
      <c r="D55" s="157"/>
      <c r="E55" s="152"/>
      <c r="F55" s="153"/>
      <c r="G55" s="154"/>
      <c r="H55" s="155"/>
      <c r="I55" s="379" t="str">
        <f t="shared" si="0"/>
        <v/>
      </c>
      <c r="J55" s="416"/>
      <c r="K55" s="155"/>
      <c r="L55" s="379" t="str">
        <f t="shared" si="1"/>
        <v/>
      </c>
      <c r="M55" s="416"/>
      <c r="N55" s="155"/>
      <c r="O55" s="379" t="str">
        <f t="shared" si="2"/>
        <v/>
      </c>
      <c r="P55" s="416"/>
      <c r="Q55" s="156"/>
      <c r="S55" s="448"/>
      <c r="T55" s="454"/>
      <c r="U55" s="433"/>
      <c r="V55" s="454"/>
      <c r="W55" s="433"/>
      <c r="X55" s="434"/>
    </row>
    <row r="56" spans="2:24" ht="15.75" customHeight="1" x14ac:dyDescent="0.15">
      <c r="B56" s="149" t="s">
        <v>141</v>
      </c>
      <c r="C56" s="150"/>
      <c r="D56" s="157"/>
      <c r="E56" s="152"/>
      <c r="F56" s="153"/>
      <c r="G56" s="154"/>
      <c r="H56" s="155"/>
      <c r="I56" s="379" t="str">
        <f t="shared" si="0"/>
        <v/>
      </c>
      <c r="J56" s="416"/>
      <c r="K56" s="155"/>
      <c r="L56" s="379" t="str">
        <f t="shared" si="1"/>
        <v/>
      </c>
      <c r="M56" s="416"/>
      <c r="N56" s="155"/>
      <c r="O56" s="379" t="str">
        <f t="shared" si="2"/>
        <v/>
      </c>
      <c r="P56" s="416"/>
      <c r="Q56" s="156"/>
      <c r="S56" s="448"/>
      <c r="T56" s="454"/>
      <c r="U56" s="433"/>
      <c r="V56" s="454"/>
      <c r="W56" s="433"/>
      <c r="X56" s="434"/>
    </row>
    <row r="57" spans="2:24" ht="15.75" customHeight="1" x14ac:dyDescent="0.15">
      <c r="B57" s="149" t="s">
        <v>142</v>
      </c>
      <c r="C57" s="150"/>
      <c r="D57" s="157"/>
      <c r="E57" s="152"/>
      <c r="F57" s="153"/>
      <c r="G57" s="154"/>
      <c r="H57" s="155"/>
      <c r="I57" s="379" t="str">
        <f t="shared" si="0"/>
        <v/>
      </c>
      <c r="J57" s="416"/>
      <c r="K57" s="155"/>
      <c r="L57" s="379" t="str">
        <f t="shared" si="1"/>
        <v/>
      </c>
      <c r="M57" s="416"/>
      <c r="N57" s="155"/>
      <c r="O57" s="379" t="str">
        <f t="shared" si="2"/>
        <v/>
      </c>
      <c r="P57" s="416"/>
      <c r="Q57" s="156"/>
      <c r="S57" s="448"/>
      <c r="T57" s="454"/>
      <c r="U57" s="433"/>
      <c r="V57" s="454"/>
      <c r="W57" s="433"/>
      <c r="X57" s="434"/>
    </row>
    <row r="58" spans="2:24" ht="15.75" customHeight="1" x14ac:dyDescent="0.15">
      <c r="B58" s="149" t="s">
        <v>143</v>
      </c>
      <c r="C58" s="150"/>
      <c r="D58" s="157"/>
      <c r="E58" s="152"/>
      <c r="F58" s="153"/>
      <c r="G58" s="154"/>
      <c r="H58" s="155"/>
      <c r="I58" s="379" t="str">
        <f t="shared" si="0"/>
        <v/>
      </c>
      <c r="J58" s="416"/>
      <c r="K58" s="155"/>
      <c r="L58" s="379" t="str">
        <f t="shared" si="1"/>
        <v/>
      </c>
      <c r="M58" s="416"/>
      <c r="N58" s="155"/>
      <c r="O58" s="379" t="str">
        <f t="shared" si="2"/>
        <v/>
      </c>
      <c r="P58" s="416"/>
      <c r="Q58" s="156"/>
      <c r="S58" s="448"/>
      <c r="T58" s="454"/>
      <c r="U58" s="433"/>
      <c r="V58" s="454"/>
      <c r="W58" s="433"/>
      <c r="X58" s="434"/>
    </row>
    <row r="59" spans="2:24" ht="15.75" customHeight="1" x14ac:dyDescent="0.15">
      <c r="B59" s="149" t="s">
        <v>144</v>
      </c>
      <c r="C59" s="150"/>
      <c r="D59" s="157"/>
      <c r="E59" s="152"/>
      <c r="F59" s="153"/>
      <c r="G59" s="154"/>
      <c r="H59" s="155"/>
      <c r="I59" s="379" t="str">
        <f t="shared" si="0"/>
        <v/>
      </c>
      <c r="J59" s="416"/>
      <c r="K59" s="155"/>
      <c r="L59" s="379" t="str">
        <f t="shared" si="1"/>
        <v/>
      </c>
      <c r="M59" s="416"/>
      <c r="N59" s="155"/>
      <c r="O59" s="379" t="str">
        <f t="shared" si="2"/>
        <v/>
      </c>
      <c r="P59" s="416"/>
      <c r="Q59" s="156"/>
      <c r="S59" s="448"/>
      <c r="T59" s="454"/>
      <c r="U59" s="433"/>
      <c r="V59" s="454"/>
      <c r="W59" s="433"/>
      <c r="X59" s="434"/>
    </row>
    <row r="60" spans="2:24" ht="15.75" customHeight="1" x14ac:dyDescent="0.15">
      <c r="B60" s="149" t="s">
        <v>145</v>
      </c>
      <c r="C60" s="150"/>
      <c r="D60" s="157"/>
      <c r="E60" s="152"/>
      <c r="F60" s="153"/>
      <c r="G60" s="154"/>
      <c r="H60" s="155"/>
      <c r="I60" s="379" t="str">
        <f t="shared" si="0"/>
        <v/>
      </c>
      <c r="J60" s="416"/>
      <c r="K60" s="155"/>
      <c r="L60" s="379" t="str">
        <f t="shared" si="1"/>
        <v/>
      </c>
      <c r="M60" s="416"/>
      <c r="N60" s="155"/>
      <c r="O60" s="379" t="str">
        <f t="shared" si="2"/>
        <v/>
      </c>
      <c r="P60" s="416"/>
      <c r="Q60" s="156"/>
      <c r="S60" s="448"/>
      <c r="T60" s="454"/>
      <c r="U60" s="433"/>
      <c r="V60" s="454"/>
      <c r="W60" s="433"/>
      <c r="X60" s="434"/>
    </row>
    <row r="61" spans="2:24" ht="15.75" customHeight="1" x14ac:dyDescent="0.15">
      <c r="B61" s="149" t="s">
        <v>146</v>
      </c>
      <c r="C61" s="150"/>
      <c r="D61" s="157"/>
      <c r="E61" s="152"/>
      <c r="F61" s="153"/>
      <c r="G61" s="154"/>
      <c r="H61" s="155"/>
      <c r="I61" s="379" t="str">
        <f t="shared" si="0"/>
        <v/>
      </c>
      <c r="J61" s="416"/>
      <c r="K61" s="155"/>
      <c r="L61" s="379" t="str">
        <f t="shared" si="1"/>
        <v/>
      </c>
      <c r="M61" s="416"/>
      <c r="N61" s="155"/>
      <c r="O61" s="379" t="str">
        <f t="shared" si="2"/>
        <v/>
      </c>
      <c r="P61" s="416"/>
      <c r="Q61" s="156"/>
      <c r="S61" s="448"/>
      <c r="T61" s="454"/>
      <c r="U61" s="433"/>
      <c r="V61" s="454"/>
      <c r="W61" s="433"/>
      <c r="X61" s="434"/>
    </row>
    <row r="62" spans="2:24" ht="15.75" customHeight="1" x14ac:dyDescent="0.15">
      <c r="B62" s="149" t="s">
        <v>147</v>
      </c>
      <c r="C62" s="150"/>
      <c r="D62" s="157"/>
      <c r="E62" s="152"/>
      <c r="F62" s="153"/>
      <c r="G62" s="154"/>
      <c r="H62" s="155"/>
      <c r="I62" s="379" t="str">
        <f t="shared" si="0"/>
        <v/>
      </c>
      <c r="J62" s="416"/>
      <c r="K62" s="155"/>
      <c r="L62" s="379" t="str">
        <f t="shared" si="1"/>
        <v/>
      </c>
      <c r="M62" s="416"/>
      <c r="N62" s="155"/>
      <c r="O62" s="379" t="str">
        <f t="shared" si="2"/>
        <v/>
      </c>
      <c r="P62" s="416"/>
      <c r="Q62" s="156"/>
      <c r="S62" s="448"/>
      <c r="T62" s="454"/>
      <c r="U62" s="433"/>
      <c r="V62" s="454"/>
      <c r="W62" s="433"/>
      <c r="X62" s="434"/>
    </row>
    <row r="63" spans="2:24" ht="15.75" customHeight="1" x14ac:dyDescent="0.15">
      <c r="B63" s="149" t="s">
        <v>148</v>
      </c>
      <c r="C63" s="150"/>
      <c r="D63" s="157"/>
      <c r="E63" s="152"/>
      <c r="F63" s="153"/>
      <c r="G63" s="154"/>
      <c r="H63" s="155"/>
      <c r="I63" s="379" t="str">
        <f t="shared" si="0"/>
        <v/>
      </c>
      <c r="J63" s="416"/>
      <c r="K63" s="155"/>
      <c r="L63" s="379" t="str">
        <f t="shared" si="1"/>
        <v/>
      </c>
      <c r="M63" s="416"/>
      <c r="N63" s="155"/>
      <c r="O63" s="379" t="str">
        <f t="shared" si="2"/>
        <v/>
      </c>
      <c r="P63" s="416"/>
      <c r="Q63" s="156"/>
      <c r="S63" s="448"/>
      <c r="T63" s="454"/>
      <c r="U63" s="433"/>
      <c r="V63" s="454"/>
      <c r="W63" s="433"/>
      <c r="X63" s="434"/>
    </row>
    <row r="64" spans="2:24" ht="15.75" customHeight="1" x14ac:dyDescent="0.15">
      <c r="B64" s="149" t="s">
        <v>149</v>
      </c>
      <c r="C64" s="150"/>
      <c r="D64" s="157"/>
      <c r="E64" s="152"/>
      <c r="F64" s="153"/>
      <c r="G64" s="154"/>
      <c r="H64" s="155"/>
      <c r="I64" s="379" t="str">
        <f t="shared" si="0"/>
        <v/>
      </c>
      <c r="J64" s="416"/>
      <c r="K64" s="155"/>
      <c r="L64" s="379" t="str">
        <f t="shared" si="1"/>
        <v/>
      </c>
      <c r="M64" s="416"/>
      <c r="N64" s="155"/>
      <c r="O64" s="379" t="str">
        <f t="shared" si="2"/>
        <v/>
      </c>
      <c r="P64" s="416"/>
      <c r="Q64" s="156"/>
      <c r="S64" s="448"/>
      <c r="T64" s="454"/>
      <c r="U64" s="433"/>
      <c r="V64" s="454"/>
      <c r="W64" s="433"/>
      <c r="X64" s="434"/>
    </row>
    <row r="65" spans="2:24" ht="15.75" customHeight="1" x14ac:dyDescent="0.15">
      <c r="B65" s="158" t="s">
        <v>150</v>
      </c>
      <c r="C65" s="159"/>
      <c r="D65" s="160"/>
      <c r="E65" s="161"/>
      <c r="F65" s="162"/>
      <c r="G65" s="163"/>
      <c r="H65" s="164"/>
      <c r="I65" s="379" t="str">
        <f t="shared" si="0"/>
        <v/>
      </c>
      <c r="J65" s="416"/>
      <c r="K65" s="164"/>
      <c r="L65" s="379" t="str">
        <f t="shared" si="1"/>
        <v/>
      </c>
      <c r="M65" s="416"/>
      <c r="N65" s="164"/>
      <c r="O65" s="379" t="str">
        <f t="shared" si="2"/>
        <v/>
      </c>
      <c r="P65" s="416"/>
      <c r="Q65" s="165"/>
      <c r="S65" s="448"/>
      <c r="T65" s="454"/>
      <c r="U65" s="433"/>
      <c r="V65" s="454"/>
      <c r="W65" s="433"/>
      <c r="X65" s="434"/>
    </row>
    <row r="66" spans="2:24" ht="15.75" customHeight="1" x14ac:dyDescent="0.15">
      <c r="B66" s="149" t="s">
        <v>151</v>
      </c>
      <c r="C66" s="150"/>
      <c r="D66" s="157"/>
      <c r="E66" s="152"/>
      <c r="F66" s="153"/>
      <c r="G66" s="154"/>
      <c r="H66" s="155"/>
      <c r="I66" s="379" t="str">
        <f t="shared" si="0"/>
        <v/>
      </c>
      <c r="J66" s="416"/>
      <c r="K66" s="155"/>
      <c r="L66" s="379" t="str">
        <f t="shared" si="1"/>
        <v/>
      </c>
      <c r="M66" s="416"/>
      <c r="N66" s="155"/>
      <c r="O66" s="379" t="str">
        <f t="shared" si="2"/>
        <v/>
      </c>
      <c r="P66" s="416"/>
      <c r="Q66" s="156"/>
      <c r="S66" s="448"/>
      <c r="T66" s="454"/>
      <c r="U66" s="433"/>
      <c r="V66" s="454"/>
      <c r="W66" s="433"/>
      <c r="X66" s="434"/>
    </row>
    <row r="67" spans="2:24" ht="15.75" customHeight="1" x14ac:dyDescent="0.15">
      <c r="B67" s="166" t="s">
        <v>152</v>
      </c>
      <c r="C67" s="167"/>
      <c r="D67" s="168"/>
      <c r="E67" s="169"/>
      <c r="F67" s="170"/>
      <c r="G67" s="171"/>
      <c r="H67" s="172"/>
      <c r="I67" s="379" t="str">
        <f t="shared" si="0"/>
        <v/>
      </c>
      <c r="J67" s="416"/>
      <c r="K67" s="172"/>
      <c r="L67" s="379" t="str">
        <f t="shared" si="1"/>
        <v/>
      </c>
      <c r="M67" s="416"/>
      <c r="N67" s="172"/>
      <c r="O67" s="379" t="str">
        <f t="shared" si="2"/>
        <v/>
      </c>
      <c r="P67" s="416"/>
      <c r="Q67" s="173"/>
      <c r="S67" s="448"/>
      <c r="T67" s="454"/>
      <c r="U67" s="433"/>
      <c r="V67" s="454"/>
      <c r="W67" s="433"/>
      <c r="X67" s="434"/>
    </row>
    <row r="68" spans="2:24" ht="15.75" customHeight="1" x14ac:dyDescent="0.15">
      <c r="B68" s="149" t="s">
        <v>153</v>
      </c>
      <c r="C68" s="150"/>
      <c r="D68" s="157"/>
      <c r="E68" s="152"/>
      <c r="F68" s="153"/>
      <c r="G68" s="154"/>
      <c r="H68" s="155"/>
      <c r="I68" s="379" t="str">
        <f t="shared" si="0"/>
        <v/>
      </c>
      <c r="J68" s="416"/>
      <c r="K68" s="155"/>
      <c r="L68" s="379" t="str">
        <f t="shared" si="1"/>
        <v/>
      </c>
      <c r="M68" s="416"/>
      <c r="N68" s="155"/>
      <c r="O68" s="379" t="str">
        <f t="shared" si="2"/>
        <v/>
      </c>
      <c r="P68" s="416"/>
      <c r="Q68" s="156"/>
      <c r="S68" s="448"/>
      <c r="T68" s="454"/>
      <c r="U68" s="433"/>
      <c r="V68" s="454"/>
      <c r="W68" s="433"/>
      <c r="X68" s="434"/>
    </row>
    <row r="69" spans="2:24" ht="15.75" customHeight="1" x14ac:dyDescent="0.15">
      <c r="B69" s="149" t="s">
        <v>154</v>
      </c>
      <c r="C69" s="150"/>
      <c r="D69" s="157"/>
      <c r="E69" s="152"/>
      <c r="F69" s="153"/>
      <c r="G69" s="154"/>
      <c r="H69" s="155"/>
      <c r="I69" s="379" t="str">
        <f t="shared" si="0"/>
        <v/>
      </c>
      <c r="J69" s="416"/>
      <c r="K69" s="155"/>
      <c r="L69" s="379" t="str">
        <f t="shared" si="1"/>
        <v/>
      </c>
      <c r="M69" s="416"/>
      <c r="N69" s="155"/>
      <c r="O69" s="379" t="str">
        <f t="shared" si="2"/>
        <v/>
      </c>
      <c r="P69" s="416"/>
      <c r="Q69" s="156"/>
      <c r="S69" s="448"/>
      <c r="T69" s="454"/>
      <c r="U69" s="433"/>
      <c r="V69" s="454"/>
      <c r="W69" s="433"/>
      <c r="X69" s="434"/>
    </row>
    <row r="70" spans="2:24" ht="15.75" customHeight="1" x14ac:dyDescent="0.15">
      <c r="B70" s="149" t="s">
        <v>155</v>
      </c>
      <c r="C70" s="150"/>
      <c r="D70" s="157"/>
      <c r="E70" s="152"/>
      <c r="F70" s="153"/>
      <c r="G70" s="154"/>
      <c r="H70" s="155"/>
      <c r="I70" s="379" t="str">
        <f t="shared" si="0"/>
        <v/>
      </c>
      <c r="J70" s="416"/>
      <c r="K70" s="155"/>
      <c r="L70" s="379" t="str">
        <f t="shared" si="1"/>
        <v/>
      </c>
      <c r="M70" s="416"/>
      <c r="N70" s="155"/>
      <c r="O70" s="379" t="str">
        <f t="shared" si="2"/>
        <v/>
      </c>
      <c r="P70" s="416"/>
      <c r="Q70" s="156"/>
      <c r="S70" s="448"/>
      <c r="T70" s="454"/>
      <c r="U70" s="433"/>
      <c r="V70" s="454"/>
      <c r="W70" s="433"/>
      <c r="X70" s="434"/>
    </row>
    <row r="71" spans="2:24" ht="15.75" customHeight="1" x14ac:dyDescent="0.15">
      <c r="B71" s="149" t="s">
        <v>156</v>
      </c>
      <c r="C71" s="150"/>
      <c r="D71" s="157"/>
      <c r="E71" s="152"/>
      <c r="F71" s="153"/>
      <c r="G71" s="154"/>
      <c r="H71" s="155"/>
      <c r="I71" s="379" t="str">
        <f t="shared" si="0"/>
        <v/>
      </c>
      <c r="J71" s="416"/>
      <c r="K71" s="155"/>
      <c r="L71" s="379" t="str">
        <f t="shared" si="1"/>
        <v/>
      </c>
      <c r="M71" s="416"/>
      <c r="N71" s="155"/>
      <c r="O71" s="379" t="str">
        <f t="shared" si="2"/>
        <v/>
      </c>
      <c r="P71" s="416"/>
      <c r="Q71" s="156"/>
      <c r="S71" s="448"/>
      <c r="T71" s="454"/>
      <c r="U71" s="433"/>
      <c r="V71" s="454"/>
      <c r="W71" s="433"/>
      <c r="X71" s="434"/>
    </row>
    <row r="72" spans="2:24" ht="15.75" customHeight="1" x14ac:dyDescent="0.15">
      <c r="B72" s="149" t="s">
        <v>157</v>
      </c>
      <c r="C72" s="150"/>
      <c r="D72" s="157"/>
      <c r="E72" s="152"/>
      <c r="F72" s="153"/>
      <c r="G72" s="154"/>
      <c r="H72" s="155"/>
      <c r="I72" s="379" t="str">
        <f t="shared" si="0"/>
        <v/>
      </c>
      <c r="J72" s="416"/>
      <c r="K72" s="155"/>
      <c r="L72" s="379" t="str">
        <f t="shared" si="1"/>
        <v/>
      </c>
      <c r="M72" s="416"/>
      <c r="N72" s="155"/>
      <c r="O72" s="379" t="str">
        <f t="shared" si="2"/>
        <v/>
      </c>
      <c r="P72" s="416"/>
      <c r="Q72" s="156"/>
      <c r="S72" s="448"/>
      <c r="T72" s="454"/>
      <c r="U72" s="433"/>
      <c r="V72" s="454"/>
      <c r="W72" s="433"/>
      <c r="X72" s="434"/>
    </row>
    <row r="73" spans="2:24" ht="15.75" customHeight="1" x14ac:dyDescent="0.15">
      <c r="B73" s="149" t="s">
        <v>158</v>
      </c>
      <c r="C73" s="150"/>
      <c r="D73" s="157"/>
      <c r="E73" s="152"/>
      <c r="F73" s="153"/>
      <c r="G73" s="154"/>
      <c r="H73" s="155"/>
      <c r="I73" s="379" t="str">
        <f t="shared" si="0"/>
        <v/>
      </c>
      <c r="J73" s="416"/>
      <c r="K73" s="155"/>
      <c r="L73" s="379" t="str">
        <f t="shared" si="1"/>
        <v/>
      </c>
      <c r="M73" s="416"/>
      <c r="N73" s="155"/>
      <c r="O73" s="379" t="str">
        <f t="shared" si="2"/>
        <v/>
      </c>
      <c r="P73" s="416"/>
      <c r="Q73" s="156"/>
      <c r="S73" s="448"/>
      <c r="T73" s="454"/>
      <c r="U73" s="433"/>
      <c r="V73" s="454"/>
      <c r="W73" s="433"/>
      <c r="X73" s="434"/>
    </row>
    <row r="74" spans="2:24" ht="15.75" customHeight="1" x14ac:dyDescent="0.15">
      <c r="B74" s="149" t="s">
        <v>159</v>
      </c>
      <c r="C74" s="150"/>
      <c r="D74" s="157"/>
      <c r="E74" s="152"/>
      <c r="F74" s="153"/>
      <c r="G74" s="154"/>
      <c r="H74" s="155"/>
      <c r="I74" s="379" t="str">
        <f t="shared" si="0"/>
        <v/>
      </c>
      <c r="J74" s="416"/>
      <c r="K74" s="155"/>
      <c r="L74" s="379" t="str">
        <f t="shared" si="1"/>
        <v/>
      </c>
      <c r="M74" s="416"/>
      <c r="N74" s="155"/>
      <c r="O74" s="379" t="str">
        <f t="shared" si="2"/>
        <v/>
      </c>
      <c r="P74" s="416"/>
      <c r="Q74" s="156"/>
      <c r="S74" s="448"/>
      <c r="T74" s="454"/>
      <c r="U74" s="433"/>
      <c r="V74" s="454"/>
      <c r="W74" s="433"/>
      <c r="X74" s="434"/>
    </row>
    <row r="75" spans="2:24" ht="15.75" customHeight="1" x14ac:dyDescent="0.15">
      <c r="B75" s="149" t="s">
        <v>160</v>
      </c>
      <c r="C75" s="150"/>
      <c r="D75" s="157"/>
      <c r="E75" s="152"/>
      <c r="F75" s="153"/>
      <c r="G75" s="154"/>
      <c r="H75" s="155"/>
      <c r="I75" s="379" t="str">
        <f t="shared" si="0"/>
        <v/>
      </c>
      <c r="J75" s="416"/>
      <c r="K75" s="155"/>
      <c r="L75" s="379" t="str">
        <f t="shared" si="1"/>
        <v/>
      </c>
      <c r="M75" s="416"/>
      <c r="N75" s="155"/>
      <c r="O75" s="379" t="str">
        <f t="shared" si="2"/>
        <v/>
      </c>
      <c r="P75" s="416"/>
      <c r="Q75" s="156"/>
      <c r="S75" s="448"/>
      <c r="T75" s="454"/>
      <c r="U75" s="433"/>
      <c r="V75" s="454"/>
      <c r="W75" s="433"/>
      <c r="X75" s="434"/>
    </row>
    <row r="76" spans="2:24" ht="15.75" customHeight="1" x14ac:dyDescent="0.15">
      <c r="B76" s="149" t="s">
        <v>161</v>
      </c>
      <c r="C76" s="150"/>
      <c r="D76" s="157"/>
      <c r="E76" s="152"/>
      <c r="F76" s="153"/>
      <c r="G76" s="154"/>
      <c r="H76" s="155"/>
      <c r="I76" s="379" t="str">
        <f t="shared" si="0"/>
        <v/>
      </c>
      <c r="J76" s="416"/>
      <c r="K76" s="155"/>
      <c r="L76" s="379" t="str">
        <f t="shared" si="1"/>
        <v/>
      </c>
      <c r="M76" s="416"/>
      <c r="N76" s="155"/>
      <c r="O76" s="379" t="str">
        <f t="shared" si="2"/>
        <v/>
      </c>
      <c r="P76" s="416"/>
      <c r="Q76" s="156"/>
      <c r="S76" s="448"/>
      <c r="T76" s="454"/>
      <c r="U76" s="433"/>
      <c r="V76" s="454"/>
      <c r="W76" s="433"/>
      <c r="X76" s="434"/>
    </row>
    <row r="77" spans="2:24" ht="15.75" customHeight="1" x14ac:dyDescent="0.15">
      <c r="B77" s="149" t="s">
        <v>162</v>
      </c>
      <c r="C77" s="150"/>
      <c r="D77" s="157"/>
      <c r="E77" s="152"/>
      <c r="F77" s="153"/>
      <c r="G77" s="154"/>
      <c r="H77" s="155"/>
      <c r="I77" s="379" t="str">
        <f t="shared" si="0"/>
        <v/>
      </c>
      <c r="J77" s="416"/>
      <c r="K77" s="155"/>
      <c r="L77" s="379" t="str">
        <f t="shared" si="1"/>
        <v/>
      </c>
      <c r="M77" s="416"/>
      <c r="N77" s="155"/>
      <c r="O77" s="379" t="str">
        <f t="shared" si="2"/>
        <v/>
      </c>
      <c r="P77" s="416"/>
      <c r="Q77" s="156"/>
      <c r="S77" s="448"/>
      <c r="T77" s="454"/>
      <c r="U77" s="433"/>
      <c r="V77" s="454"/>
      <c r="W77" s="433"/>
      <c r="X77" s="434"/>
    </row>
    <row r="78" spans="2:24" ht="15.75" customHeight="1" x14ac:dyDescent="0.15">
      <c r="B78" s="149" t="s">
        <v>163</v>
      </c>
      <c r="C78" s="150"/>
      <c r="D78" s="157"/>
      <c r="E78" s="152"/>
      <c r="F78" s="153"/>
      <c r="G78" s="154"/>
      <c r="H78" s="155"/>
      <c r="I78" s="379" t="str">
        <f t="shared" si="0"/>
        <v/>
      </c>
      <c r="J78" s="416"/>
      <c r="K78" s="155"/>
      <c r="L78" s="379" t="str">
        <f t="shared" si="1"/>
        <v/>
      </c>
      <c r="M78" s="416"/>
      <c r="N78" s="155"/>
      <c r="O78" s="379" t="str">
        <f t="shared" si="2"/>
        <v/>
      </c>
      <c r="P78" s="416"/>
      <c r="Q78" s="156"/>
      <c r="S78" s="448"/>
      <c r="T78" s="454"/>
      <c r="U78" s="433"/>
      <c r="V78" s="454"/>
      <c r="W78" s="433"/>
      <c r="X78" s="434"/>
    </row>
    <row r="79" spans="2:24" ht="15.75" customHeight="1" x14ac:dyDescent="0.15">
      <c r="B79" s="149" t="s">
        <v>164</v>
      </c>
      <c r="C79" s="150"/>
      <c r="D79" s="157"/>
      <c r="E79" s="152"/>
      <c r="F79" s="153"/>
      <c r="G79" s="154"/>
      <c r="H79" s="155"/>
      <c r="I79" s="379" t="str">
        <f t="shared" si="0"/>
        <v/>
      </c>
      <c r="J79" s="416"/>
      <c r="K79" s="155"/>
      <c r="L79" s="379" t="str">
        <f t="shared" si="1"/>
        <v/>
      </c>
      <c r="M79" s="416"/>
      <c r="N79" s="155"/>
      <c r="O79" s="379" t="str">
        <f t="shared" si="2"/>
        <v/>
      </c>
      <c r="P79" s="416"/>
      <c r="Q79" s="156"/>
      <c r="S79" s="448"/>
      <c r="T79" s="454"/>
      <c r="U79" s="433"/>
      <c r="V79" s="454"/>
      <c r="W79" s="433"/>
      <c r="X79" s="434"/>
    </row>
    <row r="80" spans="2:24" ht="15.75" customHeight="1" x14ac:dyDescent="0.15">
      <c r="B80" s="149" t="s">
        <v>165</v>
      </c>
      <c r="C80" s="150"/>
      <c r="D80" s="157"/>
      <c r="E80" s="152"/>
      <c r="F80" s="153"/>
      <c r="G80" s="154"/>
      <c r="H80" s="155"/>
      <c r="I80" s="379" t="str">
        <f t="shared" si="0"/>
        <v/>
      </c>
      <c r="J80" s="416"/>
      <c r="K80" s="155"/>
      <c r="L80" s="379" t="str">
        <f t="shared" si="1"/>
        <v/>
      </c>
      <c r="M80" s="416"/>
      <c r="N80" s="155"/>
      <c r="O80" s="379" t="str">
        <f t="shared" si="2"/>
        <v/>
      </c>
      <c r="P80" s="416"/>
      <c r="Q80" s="156"/>
      <c r="S80" s="448"/>
      <c r="T80" s="454"/>
      <c r="U80" s="433"/>
      <c r="V80" s="454"/>
      <c r="W80" s="433"/>
      <c r="X80" s="434"/>
    </row>
    <row r="81" spans="2:24" ht="15.75" customHeight="1" x14ac:dyDescent="0.15">
      <c r="B81" s="149" t="s">
        <v>166</v>
      </c>
      <c r="C81" s="150"/>
      <c r="D81" s="157"/>
      <c r="E81" s="152"/>
      <c r="F81" s="153"/>
      <c r="G81" s="154"/>
      <c r="H81" s="155"/>
      <c r="I81" s="379" t="str">
        <f t="shared" ref="I81:I113" si="3">IF($H81="","",$F81*$H81/G81)</f>
        <v/>
      </c>
      <c r="J81" s="416"/>
      <c r="K81" s="155"/>
      <c r="L81" s="379" t="str">
        <f t="shared" ref="L81:L113" si="4">IF($K81="","",$F81*$K81/G81)</f>
        <v/>
      </c>
      <c r="M81" s="416"/>
      <c r="N81" s="155"/>
      <c r="O81" s="379" t="str">
        <f t="shared" si="2"/>
        <v/>
      </c>
      <c r="P81" s="416"/>
      <c r="Q81" s="156"/>
      <c r="S81" s="448"/>
      <c r="T81" s="454"/>
      <c r="U81" s="433"/>
      <c r="V81" s="454"/>
      <c r="W81" s="433"/>
      <c r="X81" s="434"/>
    </row>
    <row r="82" spans="2:24" ht="15.75" customHeight="1" x14ac:dyDescent="0.15">
      <c r="B82" s="149" t="s">
        <v>167</v>
      </c>
      <c r="C82" s="150"/>
      <c r="D82" s="157"/>
      <c r="E82" s="152"/>
      <c r="F82" s="153"/>
      <c r="G82" s="154"/>
      <c r="H82" s="155"/>
      <c r="I82" s="379" t="str">
        <f t="shared" si="3"/>
        <v/>
      </c>
      <c r="J82" s="416"/>
      <c r="K82" s="155"/>
      <c r="L82" s="379" t="str">
        <f t="shared" si="4"/>
        <v/>
      </c>
      <c r="M82" s="416"/>
      <c r="N82" s="155"/>
      <c r="O82" s="379" t="str">
        <f t="shared" ref="O82:O113" si="5">IF($N82="","",$F82*$N82/G82)</f>
        <v/>
      </c>
      <c r="P82" s="416"/>
      <c r="Q82" s="156"/>
      <c r="S82" s="448"/>
      <c r="T82" s="454"/>
      <c r="U82" s="433"/>
      <c r="V82" s="454"/>
      <c r="W82" s="433"/>
      <c r="X82" s="434"/>
    </row>
    <row r="83" spans="2:24" ht="15.75" customHeight="1" x14ac:dyDescent="0.15">
      <c r="B83" s="149" t="s">
        <v>168</v>
      </c>
      <c r="C83" s="150"/>
      <c r="D83" s="157"/>
      <c r="E83" s="152"/>
      <c r="F83" s="153"/>
      <c r="G83" s="154"/>
      <c r="H83" s="155"/>
      <c r="I83" s="379" t="str">
        <f t="shared" si="3"/>
        <v/>
      </c>
      <c r="J83" s="416"/>
      <c r="K83" s="155"/>
      <c r="L83" s="379" t="str">
        <f t="shared" si="4"/>
        <v/>
      </c>
      <c r="M83" s="416"/>
      <c r="N83" s="155"/>
      <c r="O83" s="379" t="str">
        <f t="shared" si="5"/>
        <v/>
      </c>
      <c r="P83" s="416"/>
      <c r="Q83" s="156"/>
      <c r="S83" s="448"/>
      <c r="T83" s="454"/>
      <c r="U83" s="433"/>
      <c r="V83" s="454"/>
      <c r="W83" s="433"/>
      <c r="X83" s="434"/>
    </row>
    <row r="84" spans="2:24" ht="15.75" customHeight="1" x14ac:dyDescent="0.15">
      <c r="B84" s="149" t="s">
        <v>169</v>
      </c>
      <c r="C84" s="150"/>
      <c r="D84" s="157"/>
      <c r="E84" s="152"/>
      <c r="F84" s="153"/>
      <c r="G84" s="154"/>
      <c r="H84" s="155"/>
      <c r="I84" s="379" t="str">
        <f t="shared" si="3"/>
        <v/>
      </c>
      <c r="J84" s="416"/>
      <c r="K84" s="155"/>
      <c r="L84" s="379" t="str">
        <f t="shared" si="4"/>
        <v/>
      </c>
      <c r="M84" s="416"/>
      <c r="N84" s="155"/>
      <c r="O84" s="379" t="str">
        <f t="shared" si="5"/>
        <v/>
      </c>
      <c r="P84" s="416"/>
      <c r="Q84" s="156"/>
      <c r="S84" s="448"/>
      <c r="T84" s="454"/>
      <c r="U84" s="433"/>
      <c r="V84" s="454"/>
      <c r="W84" s="433"/>
      <c r="X84" s="434"/>
    </row>
    <row r="85" spans="2:24" ht="15.75" customHeight="1" x14ac:dyDescent="0.15">
      <c r="B85" s="149" t="s">
        <v>170</v>
      </c>
      <c r="C85" s="150"/>
      <c r="D85" s="157"/>
      <c r="E85" s="152"/>
      <c r="F85" s="153"/>
      <c r="G85" s="154"/>
      <c r="H85" s="155"/>
      <c r="I85" s="379" t="str">
        <f t="shared" si="3"/>
        <v/>
      </c>
      <c r="J85" s="416"/>
      <c r="K85" s="155"/>
      <c r="L85" s="379" t="str">
        <f t="shared" si="4"/>
        <v/>
      </c>
      <c r="M85" s="416"/>
      <c r="N85" s="155"/>
      <c r="O85" s="379" t="str">
        <f t="shared" si="5"/>
        <v/>
      </c>
      <c r="P85" s="416"/>
      <c r="Q85" s="156"/>
      <c r="S85" s="448"/>
      <c r="T85" s="454"/>
      <c r="U85" s="433"/>
      <c r="V85" s="454"/>
      <c r="W85" s="433"/>
      <c r="X85" s="434"/>
    </row>
    <row r="86" spans="2:24" ht="15.75" customHeight="1" x14ac:dyDescent="0.15">
      <c r="B86" s="149" t="s">
        <v>171</v>
      </c>
      <c r="C86" s="150"/>
      <c r="D86" s="157"/>
      <c r="E86" s="152"/>
      <c r="F86" s="153"/>
      <c r="G86" s="154"/>
      <c r="H86" s="155"/>
      <c r="I86" s="379" t="str">
        <f t="shared" si="3"/>
        <v/>
      </c>
      <c r="J86" s="416"/>
      <c r="K86" s="155"/>
      <c r="L86" s="379" t="str">
        <f t="shared" si="4"/>
        <v/>
      </c>
      <c r="M86" s="416"/>
      <c r="N86" s="155"/>
      <c r="O86" s="379" t="str">
        <f t="shared" si="5"/>
        <v/>
      </c>
      <c r="P86" s="416"/>
      <c r="Q86" s="156"/>
      <c r="S86" s="448"/>
      <c r="T86" s="454"/>
      <c r="U86" s="433"/>
      <c r="V86" s="454"/>
      <c r="W86" s="433"/>
      <c r="X86" s="434"/>
    </row>
    <row r="87" spans="2:24" ht="15.75" customHeight="1" x14ac:dyDescent="0.15">
      <c r="B87" s="149" t="s">
        <v>172</v>
      </c>
      <c r="C87" s="150"/>
      <c r="D87" s="157"/>
      <c r="E87" s="152"/>
      <c r="F87" s="153"/>
      <c r="G87" s="154"/>
      <c r="H87" s="155"/>
      <c r="I87" s="379" t="str">
        <f t="shared" si="3"/>
        <v/>
      </c>
      <c r="J87" s="416"/>
      <c r="K87" s="155"/>
      <c r="L87" s="379" t="str">
        <f t="shared" si="4"/>
        <v/>
      </c>
      <c r="M87" s="416"/>
      <c r="N87" s="155"/>
      <c r="O87" s="379" t="str">
        <f t="shared" si="5"/>
        <v/>
      </c>
      <c r="P87" s="416"/>
      <c r="Q87" s="156"/>
      <c r="S87" s="448"/>
      <c r="T87" s="454"/>
      <c r="U87" s="433"/>
      <c r="V87" s="454"/>
      <c r="W87" s="433"/>
      <c r="X87" s="434"/>
    </row>
    <row r="88" spans="2:24" ht="15.75" customHeight="1" x14ac:dyDescent="0.15">
      <c r="B88" s="149" t="s">
        <v>173</v>
      </c>
      <c r="C88" s="150"/>
      <c r="D88" s="157"/>
      <c r="E88" s="152"/>
      <c r="F88" s="153"/>
      <c r="G88" s="154"/>
      <c r="H88" s="155"/>
      <c r="I88" s="379" t="str">
        <f t="shared" si="3"/>
        <v/>
      </c>
      <c r="J88" s="416"/>
      <c r="K88" s="155"/>
      <c r="L88" s="379" t="str">
        <f t="shared" si="4"/>
        <v/>
      </c>
      <c r="M88" s="416"/>
      <c r="N88" s="155"/>
      <c r="O88" s="379" t="str">
        <f t="shared" si="5"/>
        <v/>
      </c>
      <c r="P88" s="416"/>
      <c r="Q88" s="156"/>
      <c r="S88" s="448"/>
      <c r="T88" s="454"/>
      <c r="U88" s="433"/>
      <c r="V88" s="454"/>
      <c r="W88" s="433"/>
      <c r="X88" s="434"/>
    </row>
    <row r="89" spans="2:24" ht="15.75" customHeight="1" x14ac:dyDescent="0.15">
      <c r="B89" s="149" t="s">
        <v>174</v>
      </c>
      <c r="C89" s="150"/>
      <c r="D89" s="157"/>
      <c r="E89" s="152"/>
      <c r="F89" s="153"/>
      <c r="G89" s="154"/>
      <c r="H89" s="155"/>
      <c r="I89" s="379" t="str">
        <f t="shared" si="3"/>
        <v/>
      </c>
      <c r="J89" s="416"/>
      <c r="K89" s="155"/>
      <c r="L89" s="379" t="str">
        <f t="shared" si="4"/>
        <v/>
      </c>
      <c r="M89" s="416"/>
      <c r="N89" s="155"/>
      <c r="O89" s="379" t="str">
        <f t="shared" si="5"/>
        <v/>
      </c>
      <c r="P89" s="416"/>
      <c r="Q89" s="156"/>
      <c r="S89" s="448"/>
      <c r="T89" s="454"/>
      <c r="U89" s="433"/>
      <c r="V89" s="454"/>
      <c r="W89" s="433"/>
      <c r="X89" s="434"/>
    </row>
    <row r="90" spans="2:24" ht="15.75" customHeight="1" x14ac:dyDescent="0.15">
      <c r="B90" s="149" t="s">
        <v>175</v>
      </c>
      <c r="C90" s="150"/>
      <c r="D90" s="157"/>
      <c r="E90" s="152"/>
      <c r="F90" s="153"/>
      <c r="G90" s="154"/>
      <c r="H90" s="155"/>
      <c r="I90" s="379" t="str">
        <f t="shared" si="3"/>
        <v/>
      </c>
      <c r="J90" s="416"/>
      <c r="K90" s="155"/>
      <c r="L90" s="379" t="str">
        <f t="shared" si="4"/>
        <v/>
      </c>
      <c r="M90" s="416"/>
      <c r="N90" s="155"/>
      <c r="O90" s="379" t="str">
        <f t="shared" si="5"/>
        <v/>
      </c>
      <c r="P90" s="416"/>
      <c r="Q90" s="156"/>
      <c r="S90" s="448"/>
      <c r="T90" s="454"/>
      <c r="U90" s="433"/>
      <c r="V90" s="454"/>
      <c r="W90" s="433"/>
      <c r="X90" s="434"/>
    </row>
    <row r="91" spans="2:24" ht="15.75" customHeight="1" x14ac:dyDescent="0.15">
      <c r="B91" s="149" t="s">
        <v>176</v>
      </c>
      <c r="C91" s="150"/>
      <c r="D91" s="157"/>
      <c r="E91" s="152"/>
      <c r="F91" s="153"/>
      <c r="G91" s="154"/>
      <c r="H91" s="155"/>
      <c r="I91" s="379" t="str">
        <f t="shared" si="3"/>
        <v/>
      </c>
      <c r="J91" s="416"/>
      <c r="K91" s="155"/>
      <c r="L91" s="379" t="str">
        <f t="shared" si="4"/>
        <v/>
      </c>
      <c r="M91" s="416"/>
      <c r="N91" s="155"/>
      <c r="O91" s="379" t="str">
        <f t="shared" si="5"/>
        <v/>
      </c>
      <c r="P91" s="416"/>
      <c r="Q91" s="156"/>
      <c r="S91" s="448"/>
      <c r="T91" s="454"/>
      <c r="U91" s="433"/>
      <c r="V91" s="454"/>
      <c r="W91" s="433"/>
      <c r="X91" s="434"/>
    </row>
    <row r="92" spans="2:24" ht="15.75" customHeight="1" x14ac:dyDescent="0.15">
      <c r="B92" s="149" t="s">
        <v>177</v>
      </c>
      <c r="C92" s="150"/>
      <c r="D92" s="157"/>
      <c r="E92" s="152"/>
      <c r="F92" s="153"/>
      <c r="G92" s="154"/>
      <c r="H92" s="155"/>
      <c r="I92" s="379" t="str">
        <f t="shared" si="3"/>
        <v/>
      </c>
      <c r="J92" s="416"/>
      <c r="K92" s="155"/>
      <c r="L92" s="379" t="str">
        <f t="shared" si="4"/>
        <v/>
      </c>
      <c r="M92" s="416"/>
      <c r="N92" s="155"/>
      <c r="O92" s="379" t="str">
        <f t="shared" si="5"/>
        <v/>
      </c>
      <c r="P92" s="416"/>
      <c r="Q92" s="156"/>
      <c r="S92" s="448"/>
      <c r="T92" s="454"/>
      <c r="U92" s="433"/>
      <c r="V92" s="454"/>
      <c r="W92" s="433"/>
      <c r="X92" s="434"/>
    </row>
    <row r="93" spans="2:24" ht="15.75" customHeight="1" thickBot="1" x14ac:dyDescent="0.2">
      <c r="B93" s="149" t="s">
        <v>178</v>
      </c>
      <c r="C93" s="150"/>
      <c r="D93" s="157"/>
      <c r="E93" s="152"/>
      <c r="F93" s="153"/>
      <c r="G93" s="154"/>
      <c r="H93" s="155"/>
      <c r="I93" s="379" t="str">
        <f t="shared" si="3"/>
        <v/>
      </c>
      <c r="J93" s="416"/>
      <c r="K93" s="155"/>
      <c r="L93" s="379" t="str">
        <f t="shared" si="4"/>
        <v/>
      </c>
      <c r="M93" s="416"/>
      <c r="N93" s="155"/>
      <c r="O93" s="379" t="str">
        <f t="shared" si="5"/>
        <v/>
      </c>
      <c r="P93" s="416"/>
      <c r="Q93" s="156"/>
      <c r="S93" s="450"/>
      <c r="T93" s="455"/>
      <c r="U93" s="435"/>
      <c r="V93" s="455"/>
      <c r="W93" s="435"/>
      <c r="X93" s="436"/>
    </row>
    <row r="94" spans="2:24" ht="15.75" customHeight="1" x14ac:dyDescent="0.15">
      <c r="B94" s="149" t="s">
        <v>179</v>
      </c>
      <c r="C94" s="150"/>
      <c r="D94" s="157"/>
      <c r="E94" s="152"/>
      <c r="F94" s="153"/>
      <c r="G94" s="154"/>
      <c r="H94" s="155"/>
      <c r="I94" s="379" t="str">
        <f t="shared" si="3"/>
        <v/>
      </c>
      <c r="J94" s="416"/>
      <c r="K94" s="155"/>
      <c r="L94" s="379" t="str">
        <f t="shared" si="4"/>
        <v/>
      </c>
      <c r="M94" s="416"/>
      <c r="N94" s="155"/>
      <c r="O94" s="379" t="str">
        <f t="shared" si="5"/>
        <v/>
      </c>
      <c r="P94" s="416"/>
      <c r="Q94" s="156"/>
      <c r="S94" s="315"/>
      <c r="T94" s="118"/>
      <c r="U94" s="118"/>
      <c r="V94" s="118"/>
      <c r="W94" s="118"/>
    </row>
    <row r="95" spans="2:24" ht="15.75" customHeight="1" x14ac:dyDescent="0.15">
      <c r="B95" s="149" t="s">
        <v>180</v>
      </c>
      <c r="C95" s="150"/>
      <c r="D95" s="157"/>
      <c r="E95" s="152"/>
      <c r="F95" s="153"/>
      <c r="G95" s="154"/>
      <c r="H95" s="155"/>
      <c r="I95" s="379" t="str">
        <f t="shared" si="3"/>
        <v/>
      </c>
      <c r="J95" s="416"/>
      <c r="K95" s="155"/>
      <c r="L95" s="379" t="str">
        <f t="shared" si="4"/>
        <v/>
      </c>
      <c r="M95" s="416"/>
      <c r="N95" s="155"/>
      <c r="O95" s="379" t="str">
        <f t="shared" si="5"/>
        <v/>
      </c>
      <c r="P95" s="416"/>
      <c r="Q95" s="156"/>
      <c r="S95" s="315"/>
      <c r="T95" s="118"/>
      <c r="U95" s="118"/>
      <c r="V95" s="118"/>
      <c r="W95" s="118"/>
    </row>
    <row r="96" spans="2:24" ht="15.75" customHeight="1" x14ac:dyDescent="0.15">
      <c r="B96" s="149" t="s">
        <v>181</v>
      </c>
      <c r="C96" s="150"/>
      <c r="D96" s="157"/>
      <c r="E96" s="152"/>
      <c r="F96" s="153"/>
      <c r="G96" s="154"/>
      <c r="H96" s="155"/>
      <c r="I96" s="379" t="str">
        <f t="shared" si="3"/>
        <v/>
      </c>
      <c r="J96" s="416"/>
      <c r="K96" s="155"/>
      <c r="L96" s="379" t="str">
        <f t="shared" si="4"/>
        <v/>
      </c>
      <c r="M96" s="416"/>
      <c r="N96" s="155"/>
      <c r="O96" s="379" t="str">
        <f t="shared" si="5"/>
        <v/>
      </c>
      <c r="P96" s="416"/>
      <c r="Q96" s="156"/>
      <c r="S96" s="315"/>
      <c r="T96" s="118"/>
      <c r="U96" s="118"/>
      <c r="V96" s="118"/>
      <c r="W96" s="118"/>
    </row>
    <row r="97" spans="2:23" ht="15.75" customHeight="1" x14ac:dyDescent="0.15">
      <c r="B97" s="149" t="s">
        <v>182</v>
      </c>
      <c r="C97" s="150"/>
      <c r="D97" s="157"/>
      <c r="E97" s="152"/>
      <c r="F97" s="153"/>
      <c r="G97" s="154"/>
      <c r="H97" s="155"/>
      <c r="I97" s="379" t="str">
        <f t="shared" si="3"/>
        <v/>
      </c>
      <c r="J97" s="416"/>
      <c r="K97" s="155"/>
      <c r="L97" s="379" t="str">
        <f t="shared" si="4"/>
        <v/>
      </c>
      <c r="M97" s="416"/>
      <c r="N97" s="155"/>
      <c r="O97" s="379" t="str">
        <f t="shared" si="5"/>
        <v/>
      </c>
      <c r="P97" s="416"/>
      <c r="Q97" s="156"/>
      <c r="S97" s="315"/>
      <c r="T97" s="118"/>
      <c r="U97" s="118"/>
      <c r="V97" s="118"/>
      <c r="W97" s="118"/>
    </row>
    <row r="98" spans="2:23" ht="15.75" customHeight="1" x14ac:dyDescent="0.15">
      <c r="B98" s="149" t="s">
        <v>183</v>
      </c>
      <c r="C98" s="150"/>
      <c r="D98" s="157"/>
      <c r="E98" s="152"/>
      <c r="F98" s="153"/>
      <c r="G98" s="154"/>
      <c r="H98" s="155"/>
      <c r="I98" s="379" t="str">
        <f t="shared" si="3"/>
        <v/>
      </c>
      <c r="J98" s="416"/>
      <c r="K98" s="155"/>
      <c r="L98" s="379" t="str">
        <f t="shared" si="4"/>
        <v/>
      </c>
      <c r="M98" s="416"/>
      <c r="N98" s="155"/>
      <c r="O98" s="379" t="str">
        <f t="shared" si="5"/>
        <v/>
      </c>
      <c r="P98" s="416"/>
      <c r="Q98" s="156"/>
      <c r="S98" s="315"/>
      <c r="T98" s="118"/>
      <c r="U98" s="118"/>
      <c r="V98" s="118"/>
      <c r="W98" s="118"/>
    </row>
    <row r="99" spans="2:23" ht="15.75" customHeight="1" x14ac:dyDescent="0.15">
      <c r="B99" s="149" t="s">
        <v>184</v>
      </c>
      <c r="C99" s="150"/>
      <c r="D99" s="157"/>
      <c r="E99" s="152"/>
      <c r="F99" s="153"/>
      <c r="G99" s="154"/>
      <c r="H99" s="155"/>
      <c r="I99" s="379" t="str">
        <f t="shared" si="3"/>
        <v/>
      </c>
      <c r="J99" s="416"/>
      <c r="K99" s="155"/>
      <c r="L99" s="379" t="str">
        <f t="shared" si="4"/>
        <v/>
      </c>
      <c r="M99" s="416"/>
      <c r="N99" s="155"/>
      <c r="O99" s="379" t="str">
        <f t="shared" si="5"/>
        <v/>
      </c>
      <c r="P99" s="416"/>
      <c r="Q99" s="156"/>
      <c r="S99" s="315"/>
      <c r="T99" s="118"/>
      <c r="U99" s="118"/>
      <c r="V99" s="118"/>
      <c r="W99" s="118"/>
    </row>
    <row r="100" spans="2:23" ht="15.75" customHeight="1" x14ac:dyDescent="0.15">
      <c r="B100" s="149" t="s">
        <v>185</v>
      </c>
      <c r="C100" s="150"/>
      <c r="D100" s="157"/>
      <c r="E100" s="152"/>
      <c r="F100" s="153"/>
      <c r="G100" s="154"/>
      <c r="H100" s="155"/>
      <c r="I100" s="379" t="str">
        <f t="shared" si="3"/>
        <v/>
      </c>
      <c r="J100" s="416"/>
      <c r="K100" s="155"/>
      <c r="L100" s="379" t="str">
        <f t="shared" si="4"/>
        <v/>
      </c>
      <c r="M100" s="416"/>
      <c r="N100" s="155"/>
      <c r="O100" s="379" t="str">
        <f t="shared" si="5"/>
        <v/>
      </c>
      <c r="P100" s="416"/>
      <c r="Q100" s="156"/>
      <c r="S100" s="315"/>
      <c r="T100" s="118"/>
      <c r="U100" s="118"/>
      <c r="V100" s="118"/>
      <c r="W100" s="118"/>
    </row>
    <row r="101" spans="2:23" ht="15.75" customHeight="1" x14ac:dyDescent="0.15">
      <c r="B101" s="149" t="s">
        <v>186</v>
      </c>
      <c r="C101" s="150"/>
      <c r="D101" s="157"/>
      <c r="E101" s="152"/>
      <c r="F101" s="153"/>
      <c r="G101" s="154"/>
      <c r="H101" s="155"/>
      <c r="I101" s="379" t="str">
        <f t="shared" si="3"/>
        <v/>
      </c>
      <c r="J101" s="416"/>
      <c r="K101" s="155"/>
      <c r="L101" s="379" t="str">
        <f t="shared" si="4"/>
        <v/>
      </c>
      <c r="M101" s="416"/>
      <c r="N101" s="155"/>
      <c r="O101" s="379" t="str">
        <f t="shared" si="5"/>
        <v/>
      </c>
      <c r="P101" s="416"/>
      <c r="Q101" s="156"/>
      <c r="S101" s="315"/>
      <c r="T101" s="118"/>
      <c r="U101" s="118"/>
      <c r="V101" s="118"/>
      <c r="W101" s="118"/>
    </row>
    <row r="102" spans="2:23" ht="15.75" customHeight="1" x14ac:dyDescent="0.15">
      <c r="B102" s="149" t="s">
        <v>187</v>
      </c>
      <c r="C102" s="150"/>
      <c r="D102" s="157"/>
      <c r="E102" s="152"/>
      <c r="F102" s="153"/>
      <c r="G102" s="154"/>
      <c r="H102" s="155"/>
      <c r="I102" s="379" t="str">
        <f t="shared" si="3"/>
        <v/>
      </c>
      <c r="J102" s="416"/>
      <c r="K102" s="155"/>
      <c r="L102" s="379" t="str">
        <f t="shared" si="4"/>
        <v/>
      </c>
      <c r="M102" s="416"/>
      <c r="N102" s="155"/>
      <c r="O102" s="379" t="str">
        <f t="shared" si="5"/>
        <v/>
      </c>
      <c r="P102" s="416"/>
      <c r="Q102" s="156"/>
      <c r="S102" s="315"/>
      <c r="T102" s="118"/>
      <c r="U102" s="118"/>
      <c r="V102" s="118"/>
      <c r="W102" s="118"/>
    </row>
    <row r="103" spans="2:23" ht="15.75" customHeight="1" x14ac:dyDescent="0.15">
      <c r="B103" s="149" t="s">
        <v>188</v>
      </c>
      <c r="C103" s="150"/>
      <c r="D103" s="157"/>
      <c r="E103" s="152"/>
      <c r="F103" s="153"/>
      <c r="G103" s="154"/>
      <c r="H103" s="155"/>
      <c r="I103" s="379" t="str">
        <f t="shared" si="3"/>
        <v/>
      </c>
      <c r="J103" s="416"/>
      <c r="K103" s="155"/>
      <c r="L103" s="379" t="str">
        <f t="shared" si="4"/>
        <v/>
      </c>
      <c r="M103" s="416"/>
      <c r="N103" s="155"/>
      <c r="O103" s="379" t="str">
        <f t="shared" si="5"/>
        <v/>
      </c>
      <c r="P103" s="416"/>
      <c r="Q103" s="156"/>
      <c r="S103" s="315"/>
      <c r="T103" s="118"/>
      <c r="U103" s="118"/>
      <c r="V103" s="118"/>
      <c r="W103" s="118"/>
    </row>
    <row r="104" spans="2:23" ht="15.75" customHeight="1" x14ac:dyDescent="0.15">
      <c r="B104" s="149" t="s">
        <v>189</v>
      </c>
      <c r="C104" s="150"/>
      <c r="D104" s="157"/>
      <c r="E104" s="152"/>
      <c r="F104" s="153"/>
      <c r="G104" s="154"/>
      <c r="H104" s="155"/>
      <c r="I104" s="379" t="str">
        <f t="shared" si="3"/>
        <v/>
      </c>
      <c r="J104" s="416"/>
      <c r="K104" s="155"/>
      <c r="L104" s="379" t="str">
        <f t="shared" si="4"/>
        <v/>
      </c>
      <c r="M104" s="416"/>
      <c r="N104" s="155"/>
      <c r="O104" s="379" t="str">
        <f t="shared" si="5"/>
        <v/>
      </c>
      <c r="P104" s="416"/>
      <c r="Q104" s="156"/>
      <c r="S104" s="315"/>
      <c r="T104" s="118"/>
      <c r="U104" s="118"/>
      <c r="V104" s="118"/>
      <c r="W104" s="118"/>
    </row>
    <row r="105" spans="2:23" ht="15.75" customHeight="1" x14ac:dyDescent="0.15">
      <c r="B105" s="149" t="s">
        <v>190</v>
      </c>
      <c r="C105" s="150"/>
      <c r="D105" s="157"/>
      <c r="E105" s="152"/>
      <c r="F105" s="153"/>
      <c r="G105" s="154"/>
      <c r="H105" s="155"/>
      <c r="I105" s="379" t="str">
        <f t="shared" si="3"/>
        <v/>
      </c>
      <c r="J105" s="416"/>
      <c r="K105" s="155"/>
      <c r="L105" s="379" t="str">
        <f t="shared" si="4"/>
        <v/>
      </c>
      <c r="M105" s="416"/>
      <c r="N105" s="155"/>
      <c r="O105" s="379" t="str">
        <f t="shared" si="5"/>
        <v/>
      </c>
      <c r="P105" s="416"/>
      <c r="Q105" s="156"/>
      <c r="S105" s="315"/>
      <c r="T105" s="118"/>
      <c r="U105" s="118"/>
      <c r="V105" s="118"/>
      <c r="W105" s="118"/>
    </row>
    <row r="106" spans="2:23" ht="15.75" customHeight="1" x14ac:dyDescent="0.15">
      <c r="B106" s="149" t="s">
        <v>191</v>
      </c>
      <c r="C106" s="150"/>
      <c r="D106" s="157"/>
      <c r="E106" s="152"/>
      <c r="F106" s="153"/>
      <c r="G106" s="154"/>
      <c r="H106" s="155"/>
      <c r="I106" s="379" t="str">
        <f t="shared" si="3"/>
        <v/>
      </c>
      <c r="J106" s="416"/>
      <c r="K106" s="155"/>
      <c r="L106" s="379" t="str">
        <f t="shared" si="4"/>
        <v/>
      </c>
      <c r="M106" s="416"/>
      <c r="N106" s="155"/>
      <c r="O106" s="379" t="str">
        <f t="shared" si="5"/>
        <v/>
      </c>
      <c r="P106" s="416"/>
      <c r="Q106" s="156"/>
      <c r="S106" s="315"/>
      <c r="T106" s="118"/>
      <c r="U106" s="118"/>
      <c r="V106" s="118"/>
      <c r="W106" s="118"/>
    </row>
    <row r="107" spans="2:23" ht="15.75" customHeight="1" x14ac:dyDescent="0.15">
      <c r="B107" s="149" t="s">
        <v>192</v>
      </c>
      <c r="C107" s="150"/>
      <c r="D107" s="157"/>
      <c r="E107" s="152"/>
      <c r="F107" s="153"/>
      <c r="G107" s="154"/>
      <c r="H107" s="155"/>
      <c r="I107" s="379" t="str">
        <f t="shared" si="3"/>
        <v/>
      </c>
      <c r="J107" s="416"/>
      <c r="K107" s="155"/>
      <c r="L107" s="379" t="str">
        <f t="shared" si="4"/>
        <v/>
      </c>
      <c r="M107" s="416"/>
      <c r="N107" s="155"/>
      <c r="O107" s="379" t="str">
        <f t="shared" si="5"/>
        <v/>
      </c>
      <c r="P107" s="416"/>
      <c r="Q107" s="156"/>
      <c r="S107" s="315"/>
      <c r="T107" s="118"/>
      <c r="U107" s="118"/>
      <c r="V107" s="118"/>
      <c r="W107" s="118"/>
    </row>
    <row r="108" spans="2:23" ht="15.75" customHeight="1" x14ac:dyDescent="0.15">
      <c r="B108" s="149" t="s">
        <v>193</v>
      </c>
      <c r="C108" s="150"/>
      <c r="D108" s="157"/>
      <c r="E108" s="152"/>
      <c r="F108" s="153"/>
      <c r="G108" s="154"/>
      <c r="H108" s="155"/>
      <c r="I108" s="379" t="str">
        <f t="shared" si="3"/>
        <v/>
      </c>
      <c r="J108" s="416"/>
      <c r="K108" s="155"/>
      <c r="L108" s="379" t="str">
        <f t="shared" si="4"/>
        <v/>
      </c>
      <c r="M108" s="416"/>
      <c r="N108" s="155"/>
      <c r="O108" s="379" t="str">
        <f t="shared" si="5"/>
        <v/>
      </c>
      <c r="P108" s="416"/>
      <c r="Q108" s="156"/>
      <c r="S108" s="315"/>
      <c r="T108" s="118"/>
      <c r="U108" s="118"/>
      <c r="V108" s="118"/>
      <c r="W108" s="118"/>
    </row>
    <row r="109" spans="2:23" ht="15.75" customHeight="1" x14ac:dyDescent="0.15">
      <c r="B109" s="149" t="s">
        <v>194</v>
      </c>
      <c r="C109" s="150"/>
      <c r="D109" s="157"/>
      <c r="E109" s="152"/>
      <c r="F109" s="153"/>
      <c r="G109" s="154"/>
      <c r="H109" s="155"/>
      <c r="I109" s="379" t="str">
        <f t="shared" si="3"/>
        <v/>
      </c>
      <c r="J109" s="416"/>
      <c r="K109" s="155"/>
      <c r="L109" s="379" t="str">
        <f t="shared" si="4"/>
        <v/>
      </c>
      <c r="M109" s="416"/>
      <c r="N109" s="155"/>
      <c r="O109" s="379" t="str">
        <f t="shared" si="5"/>
        <v/>
      </c>
      <c r="P109" s="416"/>
      <c r="Q109" s="156"/>
      <c r="S109" s="315"/>
      <c r="T109" s="118"/>
      <c r="U109" s="118"/>
      <c r="V109" s="118"/>
      <c r="W109" s="118"/>
    </row>
    <row r="110" spans="2:23" ht="15.75" customHeight="1" x14ac:dyDescent="0.15">
      <c r="B110" s="149" t="s">
        <v>195</v>
      </c>
      <c r="C110" s="150"/>
      <c r="D110" s="157"/>
      <c r="E110" s="152"/>
      <c r="F110" s="153"/>
      <c r="G110" s="154"/>
      <c r="H110" s="155"/>
      <c r="I110" s="379" t="str">
        <f t="shared" si="3"/>
        <v/>
      </c>
      <c r="J110" s="416"/>
      <c r="K110" s="155"/>
      <c r="L110" s="379" t="str">
        <f t="shared" si="4"/>
        <v/>
      </c>
      <c r="M110" s="416"/>
      <c r="N110" s="155"/>
      <c r="O110" s="379" t="str">
        <f t="shared" si="5"/>
        <v/>
      </c>
      <c r="P110" s="416"/>
      <c r="Q110" s="156"/>
      <c r="S110" s="315"/>
      <c r="T110" s="118"/>
      <c r="U110" s="118"/>
      <c r="V110" s="118"/>
      <c r="W110" s="118"/>
    </row>
    <row r="111" spans="2:23" ht="15.75" customHeight="1" x14ac:dyDescent="0.15">
      <c r="B111" s="149" t="s">
        <v>196</v>
      </c>
      <c r="C111" s="150"/>
      <c r="D111" s="157"/>
      <c r="E111" s="152"/>
      <c r="F111" s="153"/>
      <c r="G111" s="154"/>
      <c r="H111" s="155"/>
      <c r="I111" s="379" t="str">
        <f t="shared" si="3"/>
        <v/>
      </c>
      <c r="J111" s="416"/>
      <c r="K111" s="155"/>
      <c r="L111" s="379" t="str">
        <f t="shared" si="4"/>
        <v/>
      </c>
      <c r="M111" s="416"/>
      <c r="N111" s="155"/>
      <c r="O111" s="379" t="str">
        <f t="shared" si="5"/>
        <v/>
      </c>
      <c r="P111" s="416"/>
      <c r="Q111" s="156"/>
      <c r="S111" s="315"/>
      <c r="T111" s="118"/>
      <c r="U111" s="118"/>
      <c r="V111" s="118"/>
      <c r="W111" s="118"/>
    </row>
    <row r="112" spans="2:23" ht="15.75" customHeight="1" x14ac:dyDescent="0.15">
      <c r="B112" s="149" t="s">
        <v>197</v>
      </c>
      <c r="C112" s="150"/>
      <c r="D112" s="157"/>
      <c r="E112" s="152"/>
      <c r="F112" s="153"/>
      <c r="G112" s="154"/>
      <c r="H112" s="155"/>
      <c r="I112" s="379" t="str">
        <f t="shared" si="3"/>
        <v/>
      </c>
      <c r="J112" s="416"/>
      <c r="K112" s="155"/>
      <c r="L112" s="379" t="str">
        <f t="shared" si="4"/>
        <v/>
      </c>
      <c r="M112" s="416"/>
      <c r="N112" s="155"/>
      <c r="O112" s="379" t="str">
        <f t="shared" si="5"/>
        <v/>
      </c>
      <c r="P112" s="416"/>
      <c r="Q112" s="156"/>
      <c r="S112" s="315"/>
      <c r="T112" s="118"/>
      <c r="U112" s="118"/>
      <c r="V112" s="118"/>
      <c r="W112" s="118"/>
    </row>
    <row r="113" spans="2:24" ht="15.75" customHeight="1" x14ac:dyDescent="0.15">
      <c r="B113" s="149" t="s">
        <v>198</v>
      </c>
      <c r="C113" s="150"/>
      <c r="D113" s="157"/>
      <c r="E113" s="152"/>
      <c r="F113" s="153"/>
      <c r="G113" s="154"/>
      <c r="H113" s="155"/>
      <c r="I113" s="379" t="str">
        <f t="shared" si="3"/>
        <v/>
      </c>
      <c r="J113" s="416"/>
      <c r="K113" s="155"/>
      <c r="L113" s="379" t="str">
        <f t="shared" si="4"/>
        <v/>
      </c>
      <c r="M113" s="416"/>
      <c r="N113" s="155"/>
      <c r="O113" s="379" t="str">
        <f t="shared" si="5"/>
        <v/>
      </c>
      <c r="P113" s="416"/>
      <c r="Q113" s="156"/>
      <c r="S113" s="315"/>
      <c r="T113" s="118"/>
      <c r="U113" s="118"/>
      <c r="V113" s="118"/>
      <c r="W113" s="118"/>
    </row>
    <row r="114" spans="2:24" ht="15.75" customHeight="1" thickBot="1" x14ac:dyDescent="0.2">
      <c r="B114" s="174"/>
      <c r="C114" s="175"/>
      <c r="D114" s="176"/>
      <c r="E114" s="177" t="s">
        <v>199</v>
      </c>
      <c r="F114" s="178"/>
      <c r="G114" s="179"/>
      <c r="H114" s="180">
        <f t="shared" ref="H114:O114" si="6">SUM(H16:H113)</f>
        <v>0</v>
      </c>
      <c r="I114" s="381">
        <f t="shared" si="6"/>
        <v>0</v>
      </c>
      <c r="J114" s="417"/>
      <c r="K114" s="180">
        <f t="shared" si="6"/>
        <v>0</v>
      </c>
      <c r="L114" s="381">
        <f t="shared" si="6"/>
        <v>0</v>
      </c>
      <c r="M114" s="417"/>
      <c r="N114" s="180">
        <f t="shared" si="6"/>
        <v>0</v>
      </c>
      <c r="O114" s="381">
        <f t="shared" si="6"/>
        <v>0</v>
      </c>
      <c r="P114" s="417"/>
      <c r="Q114" s="181"/>
      <c r="S114" s="315"/>
      <c r="T114" s="118"/>
      <c r="U114" s="118"/>
      <c r="V114" s="118"/>
      <c r="W114" s="118"/>
    </row>
    <row r="115" spans="2:24" ht="15.75" customHeight="1" x14ac:dyDescent="0.15">
      <c r="B115" s="182"/>
      <c r="C115" s="183"/>
      <c r="D115" s="183"/>
      <c r="E115" s="184" t="s">
        <v>200</v>
      </c>
      <c r="F115" s="185"/>
      <c r="G115" s="186"/>
      <c r="H115" s="187"/>
      <c r="I115" s="380"/>
      <c r="J115" s="418"/>
      <c r="K115" s="187" t="s">
        <v>201</v>
      </c>
      <c r="L115" s="380"/>
      <c r="M115" s="418"/>
      <c r="N115" s="187"/>
      <c r="O115" s="380"/>
      <c r="P115" s="418"/>
      <c r="Q115" s="188"/>
      <c r="S115" s="133"/>
      <c r="T115" s="189"/>
      <c r="U115" s="134" t="s">
        <v>283</v>
      </c>
      <c r="V115" s="189"/>
      <c r="W115" s="189"/>
      <c r="X115" s="190"/>
    </row>
    <row r="116" spans="2:24" ht="15.75" customHeight="1" thickBot="1" x14ac:dyDescent="0.2">
      <c r="B116" s="149" t="s">
        <v>202</v>
      </c>
      <c r="C116" s="150"/>
      <c r="D116" s="157"/>
      <c r="E116" s="152"/>
      <c r="F116" s="153"/>
      <c r="G116" s="154"/>
      <c r="H116" s="155"/>
      <c r="I116" s="379" t="str">
        <f>IF($H116="","",$F116*$H116/G116)</f>
        <v/>
      </c>
      <c r="J116" s="416"/>
      <c r="K116" s="155"/>
      <c r="L116" s="379" t="str">
        <f>IF($K116="","",$F116*$K116/G116)</f>
        <v/>
      </c>
      <c r="M116" s="416"/>
      <c r="N116" s="155"/>
      <c r="O116" s="379" t="str">
        <f>IF($N116="","",$F116*$N116/G116)</f>
        <v/>
      </c>
      <c r="P116" s="416"/>
      <c r="Q116" s="156"/>
      <c r="S116" s="191"/>
      <c r="T116" s="192"/>
      <c r="U116" s="193" t="s">
        <v>284</v>
      </c>
      <c r="V116" s="192"/>
      <c r="W116" s="192"/>
      <c r="X116" s="194"/>
    </row>
    <row r="117" spans="2:24" ht="15.75" customHeight="1" x14ac:dyDescent="0.15">
      <c r="B117" s="149" t="s">
        <v>203</v>
      </c>
      <c r="C117" s="150"/>
      <c r="D117" s="157"/>
      <c r="E117" s="152"/>
      <c r="F117" s="153"/>
      <c r="G117" s="154"/>
      <c r="H117" s="155"/>
      <c r="I117" s="379" t="str">
        <f t="shared" ref="I117:I144" si="7">IF($H117="","",$F117*$H117/G117)</f>
        <v/>
      </c>
      <c r="J117" s="416"/>
      <c r="K117" s="155"/>
      <c r="L117" s="379" t="str">
        <f t="shared" ref="L117:L144" si="8">IF($K117="","",$F117*$K117/G117)</f>
        <v/>
      </c>
      <c r="M117" s="416"/>
      <c r="N117" s="155"/>
      <c r="O117" s="379" t="str">
        <f t="shared" ref="O117:O144" si="9">IF($N117="","",$F117*$N117/G117)</f>
        <v/>
      </c>
      <c r="P117" s="416"/>
      <c r="Q117" s="156"/>
      <c r="S117" s="437"/>
      <c r="T117" s="446"/>
      <c r="U117" s="446"/>
      <c r="V117" s="446"/>
      <c r="W117" s="446"/>
      <c r="X117" s="447"/>
    </row>
    <row r="118" spans="2:24" ht="15.75" customHeight="1" x14ac:dyDescent="0.15">
      <c r="B118" s="149" t="s">
        <v>204</v>
      </c>
      <c r="C118" s="150"/>
      <c r="D118" s="157"/>
      <c r="E118" s="152"/>
      <c r="F118" s="153"/>
      <c r="G118" s="154"/>
      <c r="H118" s="155"/>
      <c r="I118" s="379" t="str">
        <f t="shared" si="7"/>
        <v/>
      </c>
      <c r="J118" s="416"/>
      <c r="K118" s="155"/>
      <c r="L118" s="379" t="str">
        <f t="shared" si="8"/>
        <v/>
      </c>
      <c r="M118" s="416"/>
      <c r="N118" s="155"/>
      <c r="O118" s="379" t="str">
        <f t="shared" si="9"/>
        <v/>
      </c>
      <c r="P118" s="416"/>
      <c r="Q118" s="156"/>
      <c r="S118" s="448"/>
      <c r="T118" s="449"/>
      <c r="U118" s="449"/>
      <c r="V118" s="449"/>
      <c r="W118" s="449"/>
      <c r="X118" s="434"/>
    </row>
    <row r="119" spans="2:24" ht="15.75" customHeight="1" x14ac:dyDescent="0.15">
      <c r="B119" s="149" t="s">
        <v>205</v>
      </c>
      <c r="C119" s="150"/>
      <c r="D119" s="157"/>
      <c r="E119" s="152"/>
      <c r="F119" s="153"/>
      <c r="G119" s="154"/>
      <c r="H119" s="155"/>
      <c r="I119" s="379" t="str">
        <f t="shared" si="7"/>
        <v/>
      </c>
      <c r="J119" s="416"/>
      <c r="K119" s="155"/>
      <c r="L119" s="379" t="str">
        <f t="shared" si="8"/>
        <v/>
      </c>
      <c r="M119" s="416"/>
      <c r="N119" s="155"/>
      <c r="O119" s="379" t="str">
        <f t="shared" si="9"/>
        <v/>
      </c>
      <c r="P119" s="416"/>
      <c r="Q119" s="156"/>
      <c r="S119" s="448"/>
      <c r="T119" s="449"/>
      <c r="U119" s="449"/>
      <c r="V119" s="449"/>
      <c r="W119" s="449"/>
      <c r="X119" s="434"/>
    </row>
    <row r="120" spans="2:24" ht="15.75" customHeight="1" x14ac:dyDescent="0.15">
      <c r="B120" s="149" t="s">
        <v>206</v>
      </c>
      <c r="C120" s="150"/>
      <c r="D120" s="157"/>
      <c r="E120" s="152"/>
      <c r="F120" s="153"/>
      <c r="G120" s="154"/>
      <c r="H120" s="155"/>
      <c r="I120" s="379" t="str">
        <f t="shared" si="7"/>
        <v/>
      </c>
      <c r="J120" s="416"/>
      <c r="K120" s="155"/>
      <c r="L120" s="379" t="str">
        <f t="shared" si="8"/>
        <v/>
      </c>
      <c r="M120" s="416"/>
      <c r="N120" s="155"/>
      <c r="O120" s="379" t="str">
        <f t="shared" si="9"/>
        <v/>
      </c>
      <c r="P120" s="416"/>
      <c r="Q120" s="156"/>
      <c r="S120" s="448"/>
      <c r="T120" s="449"/>
      <c r="U120" s="449"/>
      <c r="V120" s="449"/>
      <c r="W120" s="449"/>
      <c r="X120" s="434"/>
    </row>
    <row r="121" spans="2:24" ht="15.75" customHeight="1" x14ac:dyDescent="0.15">
      <c r="B121" s="149" t="s">
        <v>207</v>
      </c>
      <c r="C121" s="150"/>
      <c r="D121" s="157"/>
      <c r="E121" s="152"/>
      <c r="F121" s="153"/>
      <c r="G121" s="154"/>
      <c r="H121" s="155"/>
      <c r="I121" s="379" t="str">
        <f t="shared" si="7"/>
        <v/>
      </c>
      <c r="J121" s="416"/>
      <c r="K121" s="155"/>
      <c r="L121" s="379" t="str">
        <f t="shared" si="8"/>
        <v/>
      </c>
      <c r="M121" s="416"/>
      <c r="N121" s="155"/>
      <c r="O121" s="379" t="str">
        <f t="shared" si="9"/>
        <v/>
      </c>
      <c r="P121" s="416"/>
      <c r="Q121" s="156"/>
      <c r="S121" s="448"/>
      <c r="T121" s="449"/>
      <c r="U121" s="449"/>
      <c r="V121" s="449"/>
      <c r="W121" s="449"/>
      <c r="X121" s="434"/>
    </row>
    <row r="122" spans="2:24" ht="15.75" customHeight="1" x14ac:dyDescent="0.15">
      <c r="B122" s="149" t="s">
        <v>208</v>
      </c>
      <c r="C122" s="150"/>
      <c r="D122" s="157"/>
      <c r="E122" s="152"/>
      <c r="F122" s="153"/>
      <c r="G122" s="154"/>
      <c r="H122" s="155"/>
      <c r="I122" s="379" t="str">
        <f t="shared" si="7"/>
        <v/>
      </c>
      <c r="J122" s="416"/>
      <c r="K122" s="155"/>
      <c r="L122" s="379" t="str">
        <f t="shared" si="8"/>
        <v/>
      </c>
      <c r="M122" s="416"/>
      <c r="N122" s="155"/>
      <c r="O122" s="379" t="str">
        <f t="shared" si="9"/>
        <v/>
      </c>
      <c r="P122" s="416"/>
      <c r="Q122" s="156"/>
      <c r="S122" s="448"/>
      <c r="T122" s="449"/>
      <c r="U122" s="449"/>
      <c r="V122" s="449"/>
      <c r="W122" s="449"/>
      <c r="X122" s="434"/>
    </row>
    <row r="123" spans="2:24" ht="15.75" customHeight="1" x14ac:dyDescent="0.15">
      <c r="B123" s="149" t="s">
        <v>209</v>
      </c>
      <c r="C123" s="150"/>
      <c r="D123" s="157"/>
      <c r="E123" s="152"/>
      <c r="F123" s="153"/>
      <c r="G123" s="154"/>
      <c r="H123" s="155"/>
      <c r="I123" s="379" t="str">
        <f t="shared" si="7"/>
        <v/>
      </c>
      <c r="J123" s="416"/>
      <c r="K123" s="155"/>
      <c r="L123" s="379" t="str">
        <f t="shared" si="8"/>
        <v/>
      </c>
      <c r="M123" s="416"/>
      <c r="N123" s="155"/>
      <c r="O123" s="379" t="str">
        <f t="shared" si="9"/>
        <v/>
      </c>
      <c r="P123" s="416"/>
      <c r="Q123" s="156"/>
      <c r="S123" s="448"/>
      <c r="T123" s="449"/>
      <c r="U123" s="449"/>
      <c r="V123" s="449"/>
      <c r="W123" s="449"/>
      <c r="X123" s="434"/>
    </row>
    <row r="124" spans="2:24" ht="15.75" customHeight="1" x14ac:dyDescent="0.15">
      <c r="B124" s="149" t="s">
        <v>210</v>
      </c>
      <c r="C124" s="150"/>
      <c r="D124" s="157"/>
      <c r="E124" s="152"/>
      <c r="F124" s="153"/>
      <c r="G124" s="154"/>
      <c r="H124" s="155"/>
      <c r="I124" s="379" t="str">
        <f t="shared" si="7"/>
        <v/>
      </c>
      <c r="J124" s="416"/>
      <c r="K124" s="155"/>
      <c r="L124" s="379" t="str">
        <f t="shared" si="8"/>
        <v/>
      </c>
      <c r="M124" s="416"/>
      <c r="N124" s="155"/>
      <c r="O124" s="379" t="str">
        <f t="shared" si="9"/>
        <v/>
      </c>
      <c r="P124" s="416"/>
      <c r="Q124" s="156"/>
      <c r="S124" s="448"/>
      <c r="T124" s="449"/>
      <c r="U124" s="449"/>
      <c r="V124" s="449"/>
      <c r="W124" s="449"/>
      <c r="X124" s="434"/>
    </row>
    <row r="125" spans="2:24" ht="15.75" customHeight="1" x14ac:dyDescent="0.15">
      <c r="B125" s="149" t="s">
        <v>211</v>
      </c>
      <c r="C125" s="150"/>
      <c r="D125" s="157"/>
      <c r="E125" s="152"/>
      <c r="F125" s="153"/>
      <c r="G125" s="154"/>
      <c r="H125" s="155"/>
      <c r="I125" s="379" t="str">
        <f t="shared" si="7"/>
        <v/>
      </c>
      <c r="J125" s="416"/>
      <c r="K125" s="155"/>
      <c r="L125" s="379" t="str">
        <f t="shared" si="8"/>
        <v/>
      </c>
      <c r="M125" s="416"/>
      <c r="N125" s="155"/>
      <c r="O125" s="379" t="str">
        <f t="shared" si="9"/>
        <v/>
      </c>
      <c r="P125" s="416"/>
      <c r="Q125" s="156"/>
      <c r="S125" s="448"/>
      <c r="T125" s="449"/>
      <c r="U125" s="449"/>
      <c r="V125" s="449"/>
      <c r="W125" s="449"/>
      <c r="X125" s="434"/>
    </row>
    <row r="126" spans="2:24" ht="15.75" customHeight="1" x14ac:dyDescent="0.15">
      <c r="B126" s="149" t="s">
        <v>212</v>
      </c>
      <c r="C126" s="150"/>
      <c r="D126" s="157"/>
      <c r="E126" s="152"/>
      <c r="F126" s="153"/>
      <c r="G126" s="154"/>
      <c r="H126" s="155"/>
      <c r="I126" s="379" t="str">
        <f t="shared" si="7"/>
        <v/>
      </c>
      <c r="J126" s="416"/>
      <c r="K126" s="155"/>
      <c r="L126" s="379" t="str">
        <f t="shared" si="8"/>
        <v/>
      </c>
      <c r="M126" s="416"/>
      <c r="N126" s="155"/>
      <c r="O126" s="379" t="str">
        <f t="shared" si="9"/>
        <v/>
      </c>
      <c r="P126" s="416"/>
      <c r="Q126" s="156"/>
      <c r="S126" s="448"/>
      <c r="T126" s="449"/>
      <c r="U126" s="449"/>
      <c r="V126" s="449"/>
      <c r="W126" s="449"/>
      <c r="X126" s="434"/>
    </row>
    <row r="127" spans="2:24" ht="15.75" customHeight="1" x14ac:dyDescent="0.15">
      <c r="B127" s="149" t="s">
        <v>213</v>
      </c>
      <c r="C127" s="150"/>
      <c r="D127" s="157"/>
      <c r="E127" s="152"/>
      <c r="F127" s="153"/>
      <c r="G127" s="154"/>
      <c r="H127" s="155"/>
      <c r="I127" s="379" t="str">
        <f t="shared" si="7"/>
        <v/>
      </c>
      <c r="J127" s="416"/>
      <c r="K127" s="155"/>
      <c r="L127" s="379" t="str">
        <f t="shared" si="8"/>
        <v/>
      </c>
      <c r="M127" s="416"/>
      <c r="N127" s="155"/>
      <c r="O127" s="379" t="str">
        <f t="shared" si="9"/>
        <v/>
      </c>
      <c r="P127" s="416"/>
      <c r="Q127" s="156"/>
      <c r="S127" s="448"/>
      <c r="T127" s="449"/>
      <c r="U127" s="449"/>
      <c r="V127" s="449"/>
      <c r="W127" s="449"/>
      <c r="X127" s="434"/>
    </row>
    <row r="128" spans="2:24" ht="15.75" customHeight="1" x14ac:dyDescent="0.15">
      <c r="B128" s="149" t="s">
        <v>214</v>
      </c>
      <c r="C128" s="150"/>
      <c r="D128" s="157"/>
      <c r="E128" s="152"/>
      <c r="F128" s="153"/>
      <c r="G128" s="154"/>
      <c r="H128" s="155"/>
      <c r="I128" s="379" t="str">
        <f t="shared" si="7"/>
        <v/>
      </c>
      <c r="J128" s="416"/>
      <c r="K128" s="155"/>
      <c r="L128" s="379" t="str">
        <f t="shared" si="8"/>
        <v/>
      </c>
      <c r="M128" s="416"/>
      <c r="N128" s="155"/>
      <c r="O128" s="379" t="str">
        <f t="shared" si="9"/>
        <v/>
      </c>
      <c r="P128" s="416"/>
      <c r="Q128" s="156"/>
      <c r="S128" s="448"/>
      <c r="T128" s="449"/>
      <c r="U128" s="449"/>
      <c r="V128" s="449"/>
      <c r="W128" s="449"/>
      <c r="X128" s="434"/>
    </row>
    <row r="129" spans="2:24" ht="15.75" customHeight="1" x14ac:dyDescent="0.15">
      <c r="B129" s="149" t="s">
        <v>215</v>
      </c>
      <c r="C129" s="150"/>
      <c r="D129" s="157"/>
      <c r="E129" s="152"/>
      <c r="F129" s="153"/>
      <c r="G129" s="154"/>
      <c r="H129" s="155"/>
      <c r="I129" s="379" t="str">
        <f t="shared" si="7"/>
        <v/>
      </c>
      <c r="J129" s="416"/>
      <c r="K129" s="155"/>
      <c r="L129" s="379" t="str">
        <f t="shared" si="8"/>
        <v/>
      </c>
      <c r="M129" s="416"/>
      <c r="N129" s="155"/>
      <c r="O129" s="379" t="str">
        <f t="shared" si="9"/>
        <v/>
      </c>
      <c r="P129" s="416"/>
      <c r="Q129" s="156"/>
      <c r="S129" s="448"/>
      <c r="T129" s="449"/>
      <c r="U129" s="449"/>
      <c r="V129" s="449"/>
      <c r="W129" s="449"/>
      <c r="X129" s="434"/>
    </row>
    <row r="130" spans="2:24" ht="15.75" customHeight="1" x14ac:dyDescent="0.15">
      <c r="B130" s="149" t="s">
        <v>216</v>
      </c>
      <c r="C130" s="150"/>
      <c r="D130" s="157"/>
      <c r="E130" s="152"/>
      <c r="F130" s="153"/>
      <c r="G130" s="154"/>
      <c r="H130" s="155"/>
      <c r="I130" s="379" t="str">
        <f t="shared" si="7"/>
        <v/>
      </c>
      <c r="J130" s="416"/>
      <c r="K130" s="155"/>
      <c r="L130" s="379" t="str">
        <f t="shared" si="8"/>
        <v/>
      </c>
      <c r="M130" s="416"/>
      <c r="N130" s="155"/>
      <c r="O130" s="379" t="str">
        <f t="shared" si="9"/>
        <v/>
      </c>
      <c r="P130" s="416"/>
      <c r="Q130" s="156"/>
      <c r="S130" s="448"/>
      <c r="T130" s="449"/>
      <c r="U130" s="449"/>
      <c r="V130" s="449"/>
      <c r="W130" s="449"/>
      <c r="X130" s="434"/>
    </row>
    <row r="131" spans="2:24" ht="15.75" customHeight="1" x14ac:dyDescent="0.15">
      <c r="B131" s="149" t="s">
        <v>217</v>
      </c>
      <c r="C131" s="150"/>
      <c r="D131" s="157"/>
      <c r="E131" s="152"/>
      <c r="F131" s="153"/>
      <c r="G131" s="154"/>
      <c r="H131" s="155"/>
      <c r="I131" s="379" t="str">
        <f t="shared" si="7"/>
        <v/>
      </c>
      <c r="J131" s="416"/>
      <c r="K131" s="155"/>
      <c r="L131" s="379" t="str">
        <f t="shared" si="8"/>
        <v/>
      </c>
      <c r="M131" s="416"/>
      <c r="N131" s="155"/>
      <c r="O131" s="379" t="str">
        <f t="shared" si="9"/>
        <v/>
      </c>
      <c r="P131" s="416"/>
      <c r="Q131" s="156"/>
      <c r="S131" s="448"/>
      <c r="T131" s="449"/>
      <c r="U131" s="449"/>
      <c r="V131" s="449"/>
      <c r="W131" s="449"/>
      <c r="X131" s="434"/>
    </row>
    <row r="132" spans="2:24" ht="15.75" customHeight="1" x14ac:dyDescent="0.15">
      <c r="B132" s="149" t="s">
        <v>218</v>
      </c>
      <c r="C132" s="150"/>
      <c r="D132" s="157"/>
      <c r="E132" s="152"/>
      <c r="F132" s="153"/>
      <c r="G132" s="154"/>
      <c r="H132" s="155"/>
      <c r="I132" s="379" t="str">
        <f t="shared" si="7"/>
        <v/>
      </c>
      <c r="J132" s="416"/>
      <c r="K132" s="155"/>
      <c r="L132" s="379" t="str">
        <f t="shared" si="8"/>
        <v/>
      </c>
      <c r="M132" s="416"/>
      <c r="N132" s="155"/>
      <c r="O132" s="379" t="str">
        <f t="shared" si="9"/>
        <v/>
      </c>
      <c r="P132" s="416"/>
      <c r="Q132" s="156"/>
      <c r="S132" s="448"/>
      <c r="T132" s="449"/>
      <c r="U132" s="449"/>
      <c r="V132" s="449"/>
      <c r="W132" s="449"/>
      <c r="X132" s="434"/>
    </row>
    <row r="133" spans="2:24" ht="15.75" customHeight="1" x14ac:dyDescent="0.15">
      <c r="B133" s="149" t="s">
        <v>219</v>
      </c>
      <c r="C133" s="150"/>
      <c r="D133" s="157"/>
      <c r="E133" s="152"/>
      <c r="F133" s="153"/>
      <c r="G133" s="154"/>
      <c r="H133" s="155"/>
      <c r="I133" s="379" t="str">
        <f t="shared" si="7"/>
        <v/>
      </c>
      <c r="J133" s="416"/>
      <c r="K133" s="155"/>
      <c r="L133" s="379" t="str">
        <f t="shared" si="8"/>
        <v/>
      </c>
      <c r="M133" s="416"/>
      <c r="N133" s="155"/>
      <c r="O133" s="379" t="str">
        <f t="shared" si="9"/>
        <v/>
      </c>
      <c r="P133" s="416"/>
      <c r="Q133" s="156"/>
      <c r="S133" s="448"/>
      <c r="T133" s="449"/>
      <c r="U133" s="449"/>
      <c r="V133" s="449"/>
      <c r="W133" s="449"/>
      <c r="X133" s="434"/>
    </row>
    <row r="134" spans="2:24" ht="15.75" customHeight="1" x14ac:dyDescent="0.15">
      <c r="B134" s="149" t="s">
        <v>220</v>
      </c>
      <c r="C134" s="150"/>
      <c r="D134" s="157"/>
      <c r="E134" s="152"/>
      <c r="F134" s="153"/>
      <c r="G134" s="154"/>
      <c r="H134" s="155"/>
      <c r="I134" s="379" t="str">
        <f t="shared" si="7"/>
        <v/>
      </c>
      <c r="J134" s="416"/>
      <c r="K134" s="155"/>
      <c r="L134" s="379" t="str">
        <f t="shared" si="8"/>
        <v/>
      </c>
      <c r="M134" s="416"/>
      <c r="N134" s="155"/>
      <c r="O134" s="379" t="str">
        <f t="shared" si="9"/>
        <v/>
      </c>
      <c r="P134" s="416"/>
      <c r="Q134" s="156"/>
      <c r="S134" s="448"/>
      <c r="T134" s="449"/>
      <c r="U134" s="449"/>
      <c r="V134" s="449"/>
      <c r="W134" s="449"/>
      <c r="X134" s="434"/>
    </row>
    <row r="135" spans="2:24" ht="15.75" customHeight="1" x14ac:dyDescent="0.15">
      <c r="B135" s="149" t="s">
        <v>221</v>
      </c>
      <c r="C135" s="150"/>
      <c r="D135" s="157"/>
      <c r="E135" s="152"/>
      <c r="F135" s="153"/>
      <c r="G135" s="154"/>
      <c r="H135" s="155"/>
      <c r="I135" s="379" t="str">
        <f t="shared" si="7"/>
        <v/>
      </c>
      <c r="J135" s="416"/>
      <c r="K135" s="155"/>
      <c r="L135" s="379" t="str">
        <f t="shared" si="8"/>
        <v/>
      </c>
      <c r="M135" s="416"/>
      <c r="N135" s="155"/>
      <c r="O135" s="379" t="str">
        <f t="shared" si="9"/>
        <v/>
      </c>
      <c r="P135" s="416"/>
      <c r="Q135" s="156"/>
      <c r="S135" s="448"/>
      <c r="T135" s="449"/>
      <c r="U135" s="449"/>
      <c r="V135" s="449"/>
      <c r="W135" s="449"/>
      <c r="X135" s="434"/>
    </row>
    <row r="136" spans="2:24" ht="15.75" customHeight="1" x14ac:dyDescent="0.15">
      <c r="B136" s="149" t="s">
        <v>222</v>
      </c>
      <c r="C136" s="150"/>
      <c r="D136" s="157"/>
      <c r="E136" s="152"/>
      <c r="F136" s="153"/>
      <c r="G136" s="154"/>
      <c r="H136" s="155"/>
      <c r="I136" s="379" t="str">
        <f t="shared" si="7"/>
        <v/>
      </c>
      <c r="J136" s="416"/>
      <c r="K136" s="155"/>
      <c r="L136" s="379" t="str">
        <f t="shared" si="8"/>
        <v/>
      </c>
      <c r="M136" s="416"/>
      <c r="N136" s="155"/>
      <c r="O136" s="379" t="str">
        <f t="shared" si="9"/>
        <v/>
      </c>
      <c r="P136" s="416"/>
      <c r="Q136" s="156"/>
      <c r="S136" s="448"/>
      <c r="T136" s="449"/>
      <c r="U136" s="449"/>
      <c r="V136" s="449"/>
      <c r="W136" s="449"/>
      <c r="X136" s="434"/>
    </row>
    <row r="137" spans="2:24" ht="15.75" customHeight="1" x14ac:dyDescent="0.15">
      <c r="B137" s="149" t="s">
        <v>223</v>
      </c>
      <c r="C137" s="150"/>
      <c r="D137" s="157"/>
      <c r="E137" s="152"/>
      <c r="F137" s="153"/>
      <c r="G137" s="154"/>
      <c r="H137" s="155"/>
      <c r="I137" s="379" t="str">
        <f t="shared" si="7"/>
        <v/>
      </c>
      <c r="J137" s="416"/>
      <c r="K137" s="155"/>
      <c r="L137" s="379" t="str">
        <f t="shared" si="8"/>
        <v/>
      </c>
      <c r="M137" s="416"/>
      <c r="N137" s="155"/>
      <c r="O137" s="379" t="str">
        <f t="shared" si="9"/>
        <v/>
      </c>
      <c r="P137" s="416"/>
      <c r="Q137" s="156"/>
      <c r="S137" s="448"/>
      <c r="T137" s="449"/>
      <c r="U137" s="449"/>
      <c r="V137" s="449"/>
      <c r="W137" s="449"/>
      <c r="X137" s="434"/>
    </row>
    <row r="138" spans="2:24" ht="15.75" customHeight="1" x14ac:dyDescent="0.15">
      <c r="B138" s="149" t="s">
        <v>224</v>
      </c>
      <c r="C138" s="150"/>
      <c r="D138" s="157"/>
      <c r="E138" s="152"/>
      <c r="F138" s="153"/>
      <c r="G138" s="154"/>
      <c r="H138" s="155"/>
      <c r="I138" s="379" t="str">
        <f t="shared" si="7"/>
        <v/>
      </c>
      <c r="J138" s="416"/>
      <c r="K138" s="155"/>
      <c r="L138" s="379" t="str">
        <f t="shared" si="8"/>
        <v/>
      </c>
      <c r="M138" s="416"/>
      <c r="N138" s="155"/>
      <c r="O138" s="379" t="str">
        <f t="shared" si="9"/>
        <v/>
      </c>
      <c r="P138" s="416"/>
      <c r="Q138" s="156"/>
      <c r="S138" s="448"/>
      <c r="T138" s="449"/>
      <c r="U138" s="449"/>
      <c r="V138" s="449"/>
      <c r="W138" s="449"/>
      <c r="X138" s="434"/>
    </row>
    <row r="139" spans="2:24" ht="15.75" customHeight="1" x14ac:dyDescent="0.15">
      <c r="B139" s="149" t="s">
        <v>225</v>
      </c>
      <c r="C139" s="150"/>
      <c r="D139" s="157"/>
      <c r="E139" s="152"/>
      <c r="F139" s="153"/>
      <c r="G139" s="154"/>
      <c r="H139" s="155"/>
      <c r="I139" s="379" t="str">
        <f t="shared" si="7"/>
        <v/>
      </c>
      <c r="J139" s="416"/>
      <c r="K139" s="155"/>
      <c r="L139" s="379" t="str">
        <f t="shared" si="8"/>
        <v/>
      </c>
      <c r="M139" s="416"/>
      <c r="N139" s="155"/>
      <c r="O139" s="379" t="str">
        <f t="shared" si="9"/>
        <v/>
      </c>
      <c r="P139" s="416"/>
      <c r="Q139" s="156"/>
      <c r="S139" s="448"/>
      <c r="T139" s="449"/>
      <c r="U139" s="449"/>
      <c r="V139" s="449"/>
      <c r="W139" s="449"/>
      <c r="X139" s="434"/>
    </row>
    <row r="140" spans="2:24" ht="15.75" customHeight="1" x14ac:dyDescent="0.15">
      <c r="B140" s="149" t="s">
        <v>226</v>
      </c>
      <c r="C140" s="150"/>
      <c r="D140" s="157"/>
      <c r="E140" s="152"/>
      <c r="F140" s="153"/>
      <c r="G140" s="154"/>
      <c r="H140" s="155"/>
      <c r="I140" s="379" t="str">
        <f t="shared" si="7"/>
        <v/>
      </c>
      <c r="J140" s="416"/>
      <c r="K140" s="155"/>
      <c r="L140" s="379" t="str">
        <f t="shared" si="8"/>
        <v/>
      </c>
      <c r="M140" s="416"/>
      <c r="N140" s="155"/>
      <c r="O140" s="379" t="str">
        <f t="shared" si="9"/>
        <v/>
      </c>
      <c r="P140" s="416"/>
      <c r="Q140" s="156"/>
      <c r="S140" s="448"/>
      <c r="T140" s="449"/>
      <c r="U140" s="449"/>
      <c r="V140" s="449"/>
      <c r="W140" s="449"/>
      <c r="X140" s="434"/>
    </row>
    <row r="141" spans="2:24" ht="15.75" customHeight="1" x14ac:dyDescent="0.15">
      <c r="B141" s="149" t="s">
        <v>227</v>
      </c>
      <c r="C141" s="150"/>
      <c r="D141" s="157"/>
      <c r="E141" s="152"/>
      <c r="F141" s="153"/>
      <c r="G141" s="154"/>
      <c r="H141" s="155"/>
      <c r="I141" s="379" t="str">
        <f t="shared" si="7"/>
        <v/>
      </c>
      <c r="J141" s="416"/>
      <c r="K141" s="155"/>
      <c r="L141" s="379" t="str">
        <f t="shared" si="8"/>
        <v/>
      </c>
      <c r="M141" s="416"/>
      <c r="N141" s="155"/>
      <c r="O141" s="379" t="str">
        <f t="shared" si="9"/>
        <v/>
      </c>
      <c r="P141" s="416"/>
      <c r="Q141" s="156"/>
      <c r="S141" s="448"/>
      <c r="T141" s="449"/>
      <c r="U141" s="449"/>
      <c r="V141" s="449"/>
      <c r="W141" s="449"/>
      <c r="X141" s="434"/>
    </row>
    <row r="142" spans="2:24" ht="15.75" customHeight="1" x14ac:dyDescent="0.15">
      <c r="B142" s="149" t="s">
        <v>228</v>
      </c>
      <c r="C142" s="150"/>
      <c r="D142" s="157"/>
      <c r="E142" s="152"/>
      <c r="F142" s="153"/>
      <c r="G142" s="154"/>
      <c r="H142" s="155"/>
      <c r="I142" s="379" t="str">
        <f t="shared" si="7"/>
        <v/>
      </c>
      <c r="J142" s="416"/>
      <c r="K142" s="155"/>
      <c r="L142" s="379" t="str">
        <f t="shared" si="8"/>
        <v/>
      </c>
      <c r="M142" s="416"/>
      <c r="N142" s="155"/>
      <c r="O142" s="379" t="str">
        <f t="shared" si="9"/>
        <v/>
      </c>
      <c r="P142" s="416"/>
      <c r="Q142" s="156"/>
      <c r="S142" s="448"/>
      <c r="T142" s="449"/>
      <c r="U142" s="449"/>
      <c r="V142" s="449"/>
      <c r="W142" s="449"/>
      <c r="X142" s="434"/>
    </row>
    <row r="143" spans="2:24" ht="15.75" customHeight="1" x14ac:dyDescent="0.15">
      <c r="B143" s="149" t="s">
        <v>229</v>
      </c>
      <c r="C143" s="150"/>
      <c r="D143" s="157"/>
      <c r="E143" s="152"/>
      <c r="F143" s="153"/>
      <c r="G143" s="154"/>
      <c r="H143" s="155"/>
      <c r="I143" s="379" t="str">
        <f t="shared" si="7"/>
        <v/>
      </c>
      <c r="J143" s="416"/>
      <c r="K143" s="155"/>
      <c r="L143" s="379" t="str">
        <f t="shared" si="8"/>
        <v/>
      </c>
      <c r="M143" s="416"/>
      <c r="N143" s="155"/>
      <c r="O143" s="379" t="str">
        <f t="shared" si="9"/>
        <v/>
      </c>
      <c r="P143" s="416"/>
      <c r="Q143" s="156"/>
      <c r="S143" s="448"/>
      <c r="T143" s="449"/>
      <c r="U143" s="449"/>
      <c r="V143" s="449"/>
      <c r="W143" s="449"/>
      <c r="X143" s="434"/>
    </row>
    <row r="144" spans="2:24" ht="15.75" customHeight="1" x14ac:dyDescent="0.15">
      <c r="B144" s="149" t="s">
        <v>230</v>
      </c>
      <c r="C144" s="159"/>
      <c r="D144" s="160"/>
      <c r="E144" s="161"/>
      <c r="F144" s="162"/>
      <c r="G144" s="163"/>
      <c r="H144" s="164"/>
      <c r="I144" s="379" t="str">
        <f t="shared" si="7"/>
        <v/>
      </c>
      <c r="J144" s="416"/>
      <c r="K144" s="164"/>
      <c r="L144" s="379" t="str">
        <f t="shared" si="8"/>
        <v/>
      </c>
      <c r="M144" s="416"/>
      <c r="N144" s="164"/>
      <c r="O144" s="379" t="str">
        <f t="shared" si="9"/>
        <v/>
      </c>
      <c r="P144" s="416"/>
      <c r="Q144" s="195"/>
      <c r="S144" s="448"/>
      <c r="T144" s="449"/>
      <c r="U144" s="449"/>
      <c r="V144" s="449"/>
      <c r="W144" s="449"/>
      <c r="X144" s="434"/>
    </row>
    <row r="145" spans="1:24" ht="15.75" customHeight="1" x14ac:dyDescent="0.15">
      <c r="B145" s="196"/>
      <c r="C145" s="197"/>
      <c r="D145" s="198"/>
      <c r="E145" s="199" t="s">
        <v>231</v>
      </c>
      <c r="F145" s="200"/>
      <c r="G145" s="201"/>
      <c r="H145" s="202">
        <f t="shared" ref="H145:O145" si="10">SUM(H116:H144)</f>
        <v>0</v>
      </c>
      <c r="I145" s="377">
        <f t="shared" si="10"/>
        <v>0</v>
      </c>
      <c r="J145" s="419"/>
      <c r="K145" s="202">
        <f t="shared" si="10"/>
        <v>0</v>
      </c>
      <c r="L145" s="377">
        <f t="shared" si="10"/>
        <v>0</v>
      </c>
      <c r="M145" s="419"/>
      <c r="N145" s="203">
        <f t="shared" si="10"/>
        <v>0</v>
      </c>
      <c r="O145" s="395">
        <f t="shared" si="10"/>
        <v>0</v>
      </c>
      <c r="P145" s="425"/>
      <c r="Q145" s="204"/>
      <c r="S145" s="448"/>
      <c r="T145" s="449"/>
      <c r="U145" s="449"/>
      <c r="V145" s="449"/>
      <c r="W145" s="449"/>
      <c r="X145" s="434"/>
    </row>
    <row r="146" spans="1:24" ht="15.75" customHeight="1" x14ac:dyDescent="0.15">
      <c r="B146" s="205"/>
      <c r="C146" s="206"/>
      <c r="D146" s="207"/>
      <c r="E146" s="208" t="s">
        <v>232</v>
      </c>
      <c r="F146" s="209"/>
      <c r="G146" s="210"/>
      <c r="H146" s="211"/>
      <c r="I146" s="375"/>
      <c r="J146" s="420"/>
      <c r="K146" s="211"/>
      <c r="L146" s="375"/>
      <c r="M146" s="420"/>
      <c r="N146" s="211"/>
      <c r="O146" s="375"/>
      <c r="P146" s="420"/>
      <c r="Q146" s="212"/>
      <c r="S146" s="448"/>
      <c r="T146" s="449"/>
      <c r="U146" s="449"/>
      <c r="V146" s="449"/>
      <c r="W146" s="449"/>
      <c r="X146" s="434"/>
    </row>
    <row r="147" spans="1:24" ht="15.75" customHeight="1" x14ac:dyDescent="0.15">
      <c r="B147" s="149"/>
      <c r="C147" s="213"/>
      <c r="D147" s="214"/>
      <c r="E147" s="215" t="s">
        <v>233</v>
      </c>
      <c r="F147" s="216"/>
      <c r="G147" s="217"/>
      <c r="H147" s="218"/>
      <c r="I147" s="376" t="str">
        <f>IF(H16="","",H114/H$149)</f>
        <v/>
      </c>
      <c r="J147" s="421"/>
      <c r="K147" s="218"/>
      <c r="L147" s="376" t="str">
        <f>IF(K16="","",K114/K$149)</f>
        <v/>
      </c>
      <c r="M147" s="421"/>
      <c r="N147" s="218"/>
      <c r="O147" s="376" t="str">
        <f>IF(N16="","",N114/N$149)</f>
        <v/>
      </c>
      <c r="P147" s="421"/>
      <c r="Q147" s="212"/>
      <c r="R147" s="101"/>
      <c r="S147" s="448"/>
      <c r="T147" s="449"/>
      <c r="U147" s="449"/>
      <c r="V147" s="449"/>
      <c r="W147" s="449"/>
      <c r="X147" s="434"/>
    </row>
    <row r="148" spans="1:24" ht="15.75" customHeight="1" x14ac:dyDescent="0.15">
      <c r="B148" s="219"/>
      <c r="C148" s="220"/>
      <c r="D148" s="221"/>
      <c r="E148" s="222" t="s">
        <v>234</v>
      </c>
      <c r="F148" s="223"/>
      <c r="G148" s="224"/>
      <c r="H148" s="225"/>
      <c r="I148" s="378" t="str">
        <f>IF(H16="","",H145/H$149)</f>
        <v/>
      </c>
      <c r="J148" s="422"/>
      <c r="K148" s="350"/>
      <c r="L148" s="378" t="str">
        <f>IF(K16="","",K145/K$149)</f>
        <v/>
      </c>
      <c r="M148" s="422"/>
      <c r="N148" s="225"/>
      <c r="O148" s="394" t="str">
        <f>IF(N16="","",N145/N$149)</f>
        <v/>
      </c>
      <c r="P148" s="426"/>
      <c r="Q148" s="212"/>
      <c r="R148" s="101"/>
      <c r="S148" s="448"/>
      <c r="T148" s="449"/>
      <c r="U148" s="449"/>
      <c r="V148" s="449"/>
      <c r="W148" s="449"/>
      <c r="X148" s="434"/>
    </row>
    <row r="149" spans="1:24" ht="15.75" customHeight="1" thickBot="1" x14ac:dyDescent="0.2">
      <c r="A149" s="226"/>
      <c r="B149" s="227"/>
      <c r="C149" s="228"/>
      <c r="D149" s="229"/>
      <c r="E149" s="230" t="s">
        <v>235</v>
      </c>
      <c r="F149" s="231"/>
      <c r="G149" s="232"/>
      <c r="H149" s="233"/>
      <c r="I149" s="372">
        <f>I145+I114</f>
        <v>0</v>
      </c>
      <c r="J149" s="423"/>
      <c r="K149" s="233"/>
      <c r="L149" s="372">
        <f>L145+L114</f>
        <v>0</v>
      </c>
      <c r="M149" s="423"/>
      <c r="N149" s="233"/>
      <c r="O149" s="372">
        <f>O145+O114</f>
        <v>0</v>
      </c>
      <c r="P149" s="423"/>
      <c r="Q149" s="234"/>
      <c r="R149" s="101"/>
      <c r="S149" s="450"/>
      <c r="T149" s="451"/>
      <c r="U149" s="451"/>
      <c r="V149" s="451"/>
      <c r="W149" s="451"/>
      <c r="X149" s="436"/>
    </row>
    <row r="150" spans="1:24" ht="21" customHeight="1" thickBot="1" x14ac:dyDescent="0.2">
      <c r="H150" s="250" t="s">
        <v>314</v>
      </c>
      <c r="I150" s="390"/>
      <c r="K150" s="390"/>
      <c r="L150" s="390"/>
      <c r="N150" s="390"/>
      <c r="O150" s="390"/>
    </row>
    <row r="151" spans="1:24" ht="18" customHeight="1" thickBot="1" x14ac:dyDescent="0.2">
      <c r="C151" s="235"/>
      <c r="D151" s="236" t="s">
        <v>287</v>
      </c>
      <c r="E151" s="318"/>
      <c r="H151" s="243" t="s">
        <v>433</v>
      </c>
      <c r="I151" s="364"/>
      <c r="J151" s="397"/>
      <c r="K151" s="243" t="s">
        <v>434</v>
      </c>
      <c r="L151" s="364"/>
      <c r="M151" s="397"/>
      <c r="N151" s="243" t="s">
        <v>435</v>
      </c>
      <c r="O151" s="364"/>
      <c r="P151" s="397"/>
      <c r="S151" s="133"/>
      <c r="T151" s="189"/>
      <c r="U151" s="134" t="s">
        <v>285</v>
      </c>
      <c r="V151" s="189"/>
      <c r="W151" s="189"/>
      <c r="X151" s="190"/>
    </row>
    <row r="152" spans="1:24" ht="18" thickBot="1" x14ac:dyDescent="0.2">
      <c r="C152" s="237"/>
      <c r="D152" s="319" t="s">
        <v>288</v>
      </c>
      <c r="E152" s="327"/>
      <c r="F152" s="328"/>
      <c r="H152" s="243" t="s">
        <v>246</v>
      </c>
      <c r="I152" s="364">
        <f>$E$159*$E$160</f>
        <v>0</v>
      </c>
      <c r="J152" s="397"/>
      <c r="K152" s="243" t="s">
        <v>246</v>
      </c>
      <c r="L152" s="364">
        <f>I152</f>
        <v>0</v>
      </c>
      <c r="M152" s="397"/>
      <c r="N152" s="243" t="s">
        <v>246</v>
      </c>
      <c r="O152" s="364">
        <f>I152</f>
        <v>0</v>
      </c>
      <c r="P152" s="397"/>
      <c r="S152" s="191"/>
      <c r="T152" s="192"/>
      <c r="U152" s="193" t="s">
        <v>286</v>
      </c>
      <c r="V152" s="192"/>
      <c r="W152" s="192"/>
      <c r="X152" s="194"/>
    </row>
    <row r="153" spans="1:24" ht="17.25" x14ac:dyDescent="0.15">
      <c r="B153" s="241">
        <v>2</v>
      </c>
      <c r="C153" s="238" t="s">
        <v>236</v>
      </c>
      <c r="D153" s="320" t="s">
        <v>1</v>
      </c>
      <c r="E153" s="329"/>
      <c r="F153" s="330"/>
      <c r="H153" s="244" t="s">
        <v>247</v>
      </c>
      <c r="I153" s="373"/>
      <c r="J153" s="398"/>
      <c r="K153" s="244" t="s">
        <v>247</v>
      </c>
      <c r="L153" s="373"/>
      <c r="M153" s="398"/>
      <c r="N153" s="244" t="s">
        <v>247</v>
      </c>
      <c r="O153" s="373"/>
      <c r="P153" s="398"/>
      <c r="S153" s="437"/>
      <c r="T153" s="438"/>
      <c r="U153" s="438"/>
      <c r="V153" s="438"/>
      <c r="W153" s="438"/>
      <c r="X153" s="439"/>
    </row>
    <row r="154" spans="1:24" ht="18" thickBot="1" x14ac:dyDescent="0.2">
      <c r="B154" s="241">
        <v>3</v>
      </c>
      <c r="C154" s="238" t="s">
        <v>237</v>
      </c>
      <c r="D154" s="320" t="s">
        <v>2</v>
      </c>
      <c r="E154" s="329"/>
      <c r="F154" s="330"/>
      <c r="H154" s="245" t="s">
        <v>248</v>
      </c>
      <c r="I154" s="374"/>
      <c r="J154" s="399"/>
      <c r="K154" s="245" t="s">
        <v>248</v>
      </c>
      <c r="L154" s="374"/>
      <c r="M154" s="399"/>
      <c r="N154" s="245" t="s">
        <v>248</v>
      </c>
      <c r="O154" s="374"/>
      <c r="P154" s="399"/>
      <c r="S154" s="440"/>
      <c r="T154" s="441"/>
      <c r="U154" s="441"/>
      <c r="V154" s="441"/>
      <c r="W154" s="441"/>
      <c r="X154" s="442"/>
    </row>
    <row r="155" spans="1:24" ht="17.25" x14ac:dyDescent="0.15">
      <c r="B155" s="241">
        <v>4</v>
      </c>
      <c r="C155" s="238" t="s">
        <v>238</v>
      </c>
      <c r="D155" s="320" t="s">
        <v>289</v>
      </c>
      <c r="E155" s="329"/>
      <c r="F155" s="330"/>
      <c r="H155" s="246" t="s">
        <v>249</v>
      </c>
      <c r="I155" s="370" t="e">
        <f>$I$149/$H$149*$I$153/1000/$I$154</f>
        <v>#DIV/0!</v>
      </c>
      <c r="J155" s="400"/>
      <c r="K155" s="246" t="s">
        <v>249</v>
      </c>
      <c r="L155" s="370" t="e">
        <f>$L$149/$K$149*$L$153/1000/$L$154</f>
        <v>#DIV/0!</v>
      </c>
      <c r="M155" s="400"/>
      <c r="N155" s="246" t="s">
        <v>249</v>
      </c>
      <c r="O155" s="391" t="e">
        <f>$O$149/$N$149*$O$153/1000/$O$154</f>
        <v>#DIV/0!</v>
      </c>
      <c r="P155" s="410"/>
      <c r="S155" s="440"/>
      <c r="T155" s="441"/>
      <c r="U155" s="441"/>
      <c r="V155" s="441"/>
      <c r="W155" s="441"/>
      <c r="X155" s="442"/>
    </row>
    <row r="156" spans="1:24" ht="17.25" x14ac:dyDescent="0.15">
      <c r="B156" s="241">
        <v>5</v>
      </c>
      <c r="C156" s="238" t="s">
        <v>239</v>
      </c>
      <c r="D156" s="320" t="s">
        <v>290</v>
      </c>
      <c r="E156" s="329"/>
      <c r="F156" s="330"/>
      <c r="H156" s="247" t="s">
        <v>250</v>
      </c>
      <c r="I156" s="367">
        <f>$I$195</f>
        <v>0</v>
      </c>
      <c r="J156" s="401"/>
      <c r="K156" s="247" t="s">
        <v>250</v>
      </c>
      <c r="L156" s="367">
        <f>$I$195</f>
        <v>0</v>
      </c>
      <c r="M156" s="401"/>
      <c r="N156" s="247" t="s">
        <v>250</v>
      </c>
      <c r="O156" s="367">
        <f>$I$195</f>
        <v>0</v>
      </c>
      <c r="P156" s="401"/>
      <c r="S156" s="440"/>
      <c r="T156" s="441"/>
      <c r="U156" s="441"/>
      <c r="V156" s="441"/>
      <c r="W156" s="441"/>
      <c r="X156" s="442"/>
    </row>
    <row r="157" spans="1:24" ht="18" thickBot="1" x14ac:dyDescent="0.2">
      <c r="B157" s="241">
        <v>6</v>
      </c>
      <c r="C157" s="238" t="s">
        <v>240</v>
      </c>
      <c r="D157" s="320" t="s">
        <v>291</v>
      </c>
      <c r="E157" s="331"/>
      <c r="F157" s="332"/>
      <c r="H157" s="248" t="s">
        <v>251</v>
      </c>
      <c r="I157" s="368"/>
      <c r="J157" s="402"/>
      <c r="K157" s="248" t="s">
        <v>251</v>
      </c>
      <c r="L157" s="368"/>
      <c r="M157" s="402"/>
      <c r="N157" s="248" t="s">
        <v>251</v>
      </c>
      <c r="O157" s="368"/>
      <c r="P157" s="402"/>
      <c r="S157" s="440"/>
      <c r="T157" s="441"/>
      <c r="U157" s="441"/>
      <c r="V157" s="441"/>
      <c r="W157" s="441"/>
      <c r="X157" s="442"/>
    </row>
    <row r="158" spans="1:24" ht="18.75" thickTop="1" thickBot="1" x14ac:dyDescent="0.2">
      <c r="B158" s="241">
        <v>7</v>
      </c>
      <c r="C158" s="238" t="s">
        <v>241</v>
      </c>
      <c r="D158" s="320" t="s">
        <v>292</v>
      </c>
      <c r="E158" s="333"/>
      <c r="F158" s="334"/>
      <c r="H158" s="249" t="s">
        <v>252</v>
      </c>
      <c r="I158" s="371" t="e">
        <f>SUM(I155:I157)</f>
        <v>#DIV/0!</v>
      </c>
      <c r="J158" s="403"/>
      <c r="K158" s="249" t="s">
        <v>252</v>
      </c>
      <c r="L158" s="371" t="e">
        <f>SUM(L155:L157)</f>
        <v>#DIV/0!</v>
      </c>
      <c r="M158" s="403"/>
      <c r="N158" s="249" t="s">
        <v>252</v>
      </c>
      <c r="O158" s="392" t="e">
        <f>SUM(O155:O157)</f>
        <v>#DIV/0!</v>
      </c>
      <c r="P158" s="411"/>
      <c r="S158" s="440"/>
      <c r="T158" s="441"/>
      <c r="U158" s="441"/>
      <c r="V158" s="441"/>
      <c r="W158" s="441"/>
      <c r="X158" s="442"/>
    </row>
    <row r="159" spans="1:24" ht="14.25" thickBot="1" x14ac:dyDescent="0.2">
      <c r="B159" s="241">
        <v>8</v>
      </c>
      <c r="C159" s="238" t="s">
        <v>242</v>
      </c>
      <c r="D159" s="320" t="s">
        <v>293</v>
      </c>
      <c r="E159" s="335"/>
      <c r="F159" s="336"/>
      <c r="H159" s="250" t="s">
        <v>253</v>
      </c>
      <c r="I159" s="251"/>
      <c r="J159" s="251"/>
      <c r="K159" s="252"/>
      <c r="L159" s="251"/>
      <c r="M159" s="251"/>
      <c r="N159" s="252"/>
      <c r="O159" s="251"/>
      <c r="P159" s="251"/>
      <c r="S159" s="440"/>
      <c r="T159" s="441"/>
      <c r="U159" s="441"/>
      <c r="V159" s="441"/>
      <c r="W159" s="441"/>
      <c r="X159" s="442"/>
    </row>
    <row r="160" spans="1:24" ht="18" thickBot="1" x14ac:dyDescent="0.2">
      <c r="B160" s="241">
        <v>9</v>
      </c>
      <c r="C160" s="238" t="s">
        <v>243</v>
      </c>
      <c r="D160" s="320" t="s">
        <v>294</v>
      </c>
      <c r="E160" s="333"/>
      <c r="F160" s="334"/>
      <c r="H160" s="253" t="s">
        <v>254</v>
      </c>
      <c r="I160" s="363" t="e">
        <f>I$158/$E$160</f>
        <v>#DIV/0!</v>
      </c>
      <c r="J160" s="404"/>
      <c r="K160" s="253" t="s">
        <v>254</v>
      </c>
      <c r="L160" s="363" t="e">
        <f>L$158/$E$160</f>
        <v>#DIV/0!</v>
      </c>
      <c r="M160" s="404"/>
      <c r="N160" s="253" t="s">
        <v>254</v>
      </c>
      <c r="O160" s="363" t="e">
        <f>O$158/$E$160</f>
        <v>#DIV/0!</v>
      </c>
      <c r="P160" s="404"/>
      <c r="S160" s="440"/>
      <c r="T160" s="441"/>
      <c r="U160" s="441"/>
      <c r="V160" s="441"/>
      <c r="W160" s="441"/>
      <c r="X160" s="442"/>
    </row>
    <row r="161" spans="2:24" ht="14.25" thickBot="1" x14ac:dyDescent="0.2">
      <c r="B161" s="241">
        <v>10</v>
      </c>
      <c r="C161" s="239" t="s">
        <v>244</v>
      </c>
      <c r="D161" s="321" t="s">
        <v>295</v>
      </c>
      <c r="E161" s="348"/>
      <c r="F161" s="349"/>
      <c r="H161" s="250" t="s">
        <v>403</v>
      </c>
      <c r="I161" s="254"/>
      <c r="J161" s="254"/>
      <c r="K161" s="255"/>
      <c r="L161" s="254"/>
      <c r="M161" s="254"/>
      <c r="N161" s="255"/>
      <c r="O161" s="254"/>
      <c r="P161" s="254"/>
      <c r="S161" s="440"/>
      <c r="T161" s="441"/>
      <c r="U161" s="441"/>
      <c r="V161" s="441"/>
      <c r="W161" s="441"/>
      <c r="X161" s="442"/>
    </row>
    <row r="162" spans="2:24" ht="17.25" x14ac:dyDescent="0.15">
      <c r="B162" s="241">
        <v>11</v>
      </c>
      <c r="C162" s="239" t="s">
        <v>245</v>
      </c>
      <c r="H162" s="256" t="s">
        <v>255</v>
      </c>
      <c r="I162" s="364" t="e">
        <f>$I155/I$152*1000</f>
        <v>#DIV/0!</v>
      </c>
      <c r="J162" s="397"/>
      <c r="K162" s="256" t="s">
        <v>255</v>
      </c>
      <c r="L162" s="364" t="e">
        <f>L$155/L$152*1000</f>
        <v>#DIV/0!</v>
      </c>
      <c r="M162" s="397"/>
      <c r="N162" s="256" t="s">
        <v>255</v>
      </c>
      <c r="O162" s="364" t="e">
        <f>O$155/O$152*1000</f>
        <v>#DIV/0!</v>
      </c>
      <c r="P162" s="397"/>
      <c r="S162" s="440"/>
      <c r="T162" s="441"/>
      <c r="U162" s="441"/>
      <c r="V162" s="441"/>
      <c r="W162" s="441"/>
      <c r="X162" s="442"/>
    </row>
    <row r="163" spans="2:24" ht="17.25" x14ac:dyDescent="0.15">
      <c r="B163" s="242"/>
      <c r="C163" s="240"/>
      <c r="H163" s="257" t="s">
        <v>256</v>
      </c>
      <c r="I163" s="365" t="e">
        <f>I$156/I$152*1000</f>
        <v>#DIV/0!</v>
      </c>
      <c r="J163" s="405"/>
      <c r="K163" s="257" t="s">
        <v>256</v>
      </c>
      <c r="L163" s="365" t="e">
        <f>L$156/L$152*1000</f>
        <v>#DIV/0!</v>
      </c>
      <c r="M163" s="405"/>
      <c r="N163" s="257" t="s">
        <v>256</v>
      </c>
      <c r="O163" s="365" t="e">
        <f>O$156/O$152*1000</f>
        <v>#DIV/0!</v>
      </c>
      <c r="P163" s="405"/>
      <c r="S163" s="440"/>
      <c r="T163" s="441"/>
      <c r="U163" s="441"/>
      <c r="V163" s="441"/>
      <c r="W163" s="441"/>
      <c r="X163" s="442"/>
    </row>
    <row r="164" spans="2:24" ht="18" thickBot="1" x14ac:dyDescent="0.2">
      <c r="B164" s="242"/>
      <c r="C164" s="240"/>
      <c r="H164" s="258" t="s">
        <v>257</v>
      </c>
      <c r="I164" s="366" t="e">
        <f>I$157/I$152*1000</f>
        <v>#DIV/0!</v>
      </c>
      <c r="J164" s="406"/>
      <c r="K164" s="258" t="s">
        <v>257</v>
      </c>
      <c r="L164" s="366" t="e">
        <f>L$157/L$152*1000</f>
        <v>#DIV/0!</v>
      </c>
      <c r="M164" s="406"/>
      <c r="N164" s="258" t="s">
        <v>257</v>
      </c>
      <c r="O164" s="366" t="e">
        <f>O$157/O$152*1000</f>
        <v>#DIV/0!</v>
      </c>
      <c r="P164" s="406"/>
      <c r="S164" s="440"/>
      <c r="T164" s="441"/>
      <c r="U164" s="441"/>
      <c r="V164" s="441"/>
      <c r="W164" s="441"/>
      <c r="X164" s="442"/>
    </row>
    <row r="165" spans="2:24" ht="18.75" thickTop="1" thickBot="1" x14ac:dyDescent="0.2">
      <c r="B165" s="242"/>
      <c r="C165" s="240"/>
      <c r="H165" s="259" t="s">
        <v>258</v>
      </c>
      <c r="I165" s="369" t="e">
        <f>I$158/I$152*1000</f>
        <v>#DIV/0!</v>
      </c>
      <c r="J165" s="407"/>
      <c r="K165" s="259" t="s">
        <v>258</v>
      </c>
      <c r="L165" s="369" t="e">
        <f>L$158/L$152*1000</f>
        <v>#DIV/0!</v>
      </c>
      <c r="M165" s="407"/>
      <c r="N165" s="259" t="s">
        <v>258</v>
      </c>
      <c r="O165" s="393" t="e">
        <f>O$158/O$152*1000</f>
        <v>#DIV/0!</v>
      </c>
      <c r="P165" s="412"/>
      <c r="S165" s="440"/>
      <c r="T165" s="441"/>
      <c r="U165" s="441"/>
      <c r="V165" s="441"/>
      <c r="W165" s="441"/>
      <c r="X165" s="442"/>
    </row>
    <row r="166" spans="2:24" ht="14.25" thickBot="1" x14ac:dyDescent="0.2">
      <c r="B166" s="240"/>
      <c r="C166" s="240"/>
      <c r="H166" s="252"/>
      <c r="I166" s="389"/>
      <c r="J166" s="252"/>
      <c r="K166" s="260"/>
      <c r="L166" s="389"/>
      <c r="M166" s="252"/>
      <c r="N166" s="252"/>
      <c r="O166" s="252"/>
      <c r="P166" s="252"/>
      <c r="S166" s="440"/>
      <c r="T166" s="441"/>
      <c r="U166" s="441"/>
      <c r="V166" s="441"/>
      <c r="W166" s="441"/>
      <c r="X166" s="442"/>
    </row>
    <row r="167" spans="2:24" ht="17.25" x14ac:dyDescent="0.15">
      <c r="H167" s="261" t="s">
        <v>302</v>
      </c>
      <c r="I167" s="361">
        <f>$I$175</f>
        <v>0</v>
      </c>
      <c r="J167" s="408"/>
      <c r="K167" s="261" t="s">
        <v>302</v>
      </c>
      <c r="L167" s="361">
        <f>$I$175</f>
        <v>0</v>
      </c>
      <c r="M167" s="408"/>
      <c r="N167" s="261" t="s">
        <v>302</v>
      </c>
      <c r="O167" s="361">
        <f>$O$175</f>
        <v>0</v>
      </c>
      <c r="P167" s="408"/>
      <c r="S167" s="440"/>
      <c r="T167" s="441"/>
      <c r="U167" s="441"/>
      <c r="V167" s="441"/>
      <c r="W167" s="441"/>
      <c r="X167" s="442"/>
    </row>
    <row r="168" spans="2:24" ht="18" thickBot="1" x14ac:dyDescent="0.2">
      <c r="H168" s="262" t="s">
        <v>259</v>
      </c>
      <c r="I168" s="362" t="e">
        <f>1-I$160/I$167</f>
        <v>#DIV/0!</v>
      </c>
      <c r="J168" s="409"/>
      <c r="K168" s="262" t="s">
        <v>259</v>
      </c>
      <c r="L168" s="362" t="e">
        <f>1-L$160/L$167</f>
        <v>#DIV/0!</v>
      </c>
      <c r="M168" s="409"/>
      <c r="N168" s="262" t="s">
        <v>259</v>
      </c>
      <c r="O168" s="362" t="e">
        <f>1-O$160/O$167</f>
        <v>#DIV/0!</v>
      </c>
      <c r="P168" s="409"/>
      <c r="S168" s="440"/>
      <c r="T168" s="441"/>
      <c r="U168" s="441"/>
      <c r="V168" s="441"/>
      <c r="W168" s="441"/>
      <c r="X168" s="442"/>
    </row>
    <row r="169" spans="2:24" ht="18" thickBot="1" x14ac:dyDescent="0.2">
      <c r="H169" s="250" t="s">
        <v>287</v>
      </c>
      <c r="I169" s="360"/>
      <c r="J169" s="360"/>
      <c r="K169" s="359"/>
      <c r="L169" s="360"/>
      <c r="M169" s="360"/>
      <c r="N169" s="359"/>
      <c r="O169" s="360"/>
      <c r="P169" s="360"/>
      <c r="S169" s="440"/>
      <c r="T169" s="441"/>
      <c r="U169" s="441"/>
      <c r="V169" s="441"/>
      <c r="W169" s="441"/>
      <c r="X169" s="442"/>
    </row>
    <row r="170" spans="2:24" ht="15.75" customHeight="1" x14ac:dyDescent="0.15">
      <c r="H170" s="319" t="s">
        <v>296</v>
      </c>
      <c r="I170" s="386"/>
      <c r="J170" s="387"/>
      <c r="K170" s="319" t="s">
        <v>296</v>
      </c>
      <c r="L170" s="386"/>
      <c r="M170" s="387"/>
      <c r="N170" s="319" t="s">
        <v>296</v>
      </c>
      <c r="O170" s="386"/>
      <c r="P170" s="387"/>
      <c r="S170" s="440"/>
      <c r="T170" s="441"/>
      <c r="U170" s="441"/>
      <c r="V170" s="441"/>
      <c r="W170" s="441"/>
      <c r="X170" s="442"/>
    </row>
    <row r="171" spans="2:24" ht="15.75" customHeight="1" x14ac:dyDescent="0.15">
      <c r="H171" s="320" t="s">
        <v>297</v>
      </c>
      <c r="I171" s="337"/>
      <c r="J171" s="351"/>
      <c r="K171" s="320" t="s">
        <v>297</v>
      </c>
      <c r="L171" s="337"/>
      <c r="M171" s="351"/>
      <c r="N171" s="320" t="s">
        <v>297</v>
      </c>
      <c r="O171" s="337"/>
      <c r="P171" s="351"/>
      <c r="S171" s="440"/>
      <c r="T171" s="441"/>
      <c r="U171" s="441"/>
      <c r="V171" s="441"/>
      <c r="W171" s="441"/>
      <c r="X171" s="442"/>
    </row>
    <row r="172" spans="2:24" ht="15.75" customHeight="1" x14ac:dyDescent="0.15">
      <c r="H172" s="320" t="s">
        <v>371</v>
      </c>
      <c r="I172" s="337"/>
      <c r="J172" s="388"/>
      <c r="K172" s="320" t="s">
        <v>371</v>
      </c>
      <c r="L172" s="337"/>
      <c r="M172" s="388"/>
      <c r="N172" s="320" t="s">
        <v>371</v>
      </c>
      <c r="O172" s="337"/>
      <c r="P172" s="388"/>
      <c r="S172" s="440"/>
      <c r="T172" s="441"/>
      <c r="U172" s="441"/>
      <c r="V172" s="441"/>
      <c r="W172" s="441"/>
      <c r="X172" s="442"/>
    </row>
    <row r="173" spans="2:24" ht="15.75" customHeight="1" x14ac:dyDescent="0.15">
      <c r="H173" s="320" t="s">
        <v>299</v>
      </c>
      <c r="I173" s="337"/>
      <c r="J173" s="388"/>
      <c r="K173" s="320" t="s">
        <v>299</v>
      </c>
      <c r="L173" s="337"/>
      <c r="M173" s="388"/>
      <c r="N173" s="320" t="s">
        <v>299</v>
      </c>
      <c r="O173" s="337"/>
      <c r="P173" s="388"/>
      <c r="S173" s="440"/>
      <c r="T173" s="441"/>
      <c r="U173" s="441"/>
      <c r="V173" s="441"/>
      <c r="W173" s="441"/>
      <c r="X173" s="442"/>
    </row>
    <row r="174" spans="2:24" ht="15.75" customHeight="1" x14ac:dyDescent="0.15">
      <c r="H174" s="320" t="s">
        <v>300</v>
      </c>
      <c r="I174" s="338"/>
      <c r="J174" s="339"/>
      <c r="K174" s="320" t="s">
        <v>300</v>
      </c>
      <c r="L174" s="338"/>
      <c r="M174" s="339"/>
      <c r="N174" s="320" t="s">
        <v>300</v>
      </c>
      <c r="O174" s="338"/>
      <c r="P174" s="339"/>
      <c r="S174" s="440"/>
      <c r="T174" s="441"/>
      <c r="U174" s="441"/>
      <c r="V174" s="441"/>
      <c r="W174" s="441"/>
      <c r="X174" s="442"/>
    </row>
    <row r="175" spans="2:24" ht="15.75" customHeight="1" thickBot="1" x14ac:dyDescent="0.2">
      <c r="H175" s="321" t="s">
        <v>301</v>
      </c>
      <c r="I175" s="340"/>
      <c r="J175" s="341"/>
      <c r="K175" s="321" t="s">
        <v>301</v>
      </c>
      <c r="L175" s="340"/>
      <c r="M175" s="341"/>
      <c r="N175" s="321" t="s">
        <v>301</v>
      </c>
      <c r="O175" s="340"/>
      <c r="P175" s="341"/>
      <c r="S175" s="440"/>
      <c r="T175" s="441"/>
      <c r="U175" s="441"/>
      <c r="V175" s="441"/>
      <c r="W175" s="441"/>
      <c r="X175" s="442"/>
    </row>
    <row r="176" spans="2:24" ht="14.25" thickBot="1" x14ac:dyDescent="0.2">
      <c r="B176" s="96" t="s">
        <v>350</v>
      </c>
      <c r="C176" s="263"/>
      <c r="D176" s="263"/>
      <c r="E176" s="263"/>
      <c r="F176" s="263"/>
      <c r="G176" s="263"/>
      <c r="H176" s="263"/>
      <c r="I176" s="106"/>
      <c r="J176" s="106"/>
      <c r="S176" s="440"/>
      <c r="T176" s="441"/>
      <c r="U176" s="441"/>
      <c r="V176" s="441"/>
      <c r="W176" s="441"/>
      <c r="X176" s="442"/>
    </row>
    <row r="177" spans="2:24" ht="14.25" thickBot="1" x14ac:dyDescent="0.2">
      <c r="B177" s="264" t="s">
        <v>260</v>
      </c>
      <c r="C177" s="265"/>
      <c r="D177" s="266" t="s">
        <v>261</v>
      </c>
      <c r="E177" s="267" t="s">
        <v>262</v>
      </c>
      <c r="F177" s="268" t="s">
        <v>90</v>
      </c>
      <c r="G177" s="269" t="s">
        <v>91</v>
      </c>
      <c r="H177" s="269" t="s">
        <v>263</v>
      </c>
      <c r="I177" s="427" t="s">
        <v>264</v>
      </c>
      <c r="S177" s="440"/>
      <c r="T177" s="441"/>
      <c r="U177" s="441"/>
      <c r="V177" s="441"/>
      <c r="W177" s="441"/>
      <c r="X177" s="442"/>
    </row>
    <row r="178" spans="2:24" ht="14.25" thickTop="1" x14ac:dyDescent="0.15">
      <c r="B178" s="270"/>
      <c r="C178" s="271"/>
      <c r="D178" s="272"/>
      <c r="E178" s="273"/>
      <c r="F178" s="274"/>
      <c r="G178" s="275"/>
      <c r="H178" s="276"/>
      <c r="I178" s="428" t="str">
        <f t="shared" ref="I178:I185" si="11">IF($E178="","",$F178*$H178/G178)</f>
        <v/>
      </c>
      <c r="S178" s="440"/>
      <c r="T178" s="441"/>
      <c r="U178" s="441"/>
      <c r="V178" s="441"/>
      <c r="W178" s="441"/>
      <c r="X178" s="442"/>
    </row>
    <row r="179" spans="2:24" x14ac:dyDescent="0.15">
      <c r="B179" s="277"/>
      <c r="C179" s="278"/>
      <c r="D179" s="279"/>
      <c r="E179" s="280"/>
      <c r="F179" s="281"/>
      <c r="G179" s="282"/>
      <c r="H179" s="283"/>
      <c r="I179" s="428" t="str">
        <f t="shared" si="11"/>
        <v/>
      </c>
      <c r="S179" s="440"/>
      <c r="T179" s="441"/>
      <c r="U179" s="441"/>
      <c r="V179" s="441"/>
      <c r="W179" s="441"/>
      <c r="X179" s="442"/>
    </row>
    <row r="180" spans="2:24" x14ac:dyDescent="0.15">
      <c r="B180" s="277"/>
      <c r="C180" s="278"/>
      <c r="D180" s="279"/>
      <c r="E180" s="280"/>
      <c r="F180" s="281"/>
      <c r="G180" s="282"/>
      <c r="H180" s="283"/>
      <c r="I180" s="428" t="str">
        <f t="shared" si="11"/>
        <v/>
      </c>
      <c r="S180" s="440"/>
      <c r="T180" s="441"/>
      <c r="U180" s="441"/>
      <c r="V180" s="441"/>
      <c r="W180" s="441"/>
      <c r="X180" s="442"/>
    </row>
    <row r="181" spans="2:24" x14ac:dyDescent="0.15">
      <c r="B181" s="277"/>
      <c r="C181" s="278"/>
      <c r="D181" s="279"/>
      <c r="E181" s="280"/>
      <c r="F181" s="281"/>
      <c r="G181" s="282"/>
      <c r="H181" s="283"/>
      <c r="I181" s="428" t="str">
        <f t="shared" si="11"/>
        <v/>
      </c>
      <c r="S181" s="440"/>
      <c r="T181" s="441"/>
      <c r="U181" s="441"/>
      <c r="V181" s="441"/>
      <c r="W181" s="441"/>
      <c r="X181" s="442"/>
    </row>
    <row r="182" spans="2:24" x14ac:dyDescent="0.15">
      <c r="B182" s="277"/>
      <c r="C182" s="278"/>
      <c r="D182" s="279"/>
      <c r="E182" s="280"/>
      <c r="F182" s="281"/>
      <c r="G182" s="282"/>
      <c r="H182" s="283"/>
      <c r="I182" s="428" t="str">
        <f t="shared" si="11"/>
        <v/>
      </c>
      <c r="S182" s="440"/>
      <c r="T182" s="441"/>
      <c r="U182" s="441"/>
      <c r="V182" s="441"/>
      <c r="W182" s="441"/>
      <c r="X182" s="442"/>
    </row>
    <row r="183" spans="2:24" x14ac:dyDescent="0.15">
      <c r="B183" s="277"/>
      <c r="C183" s="278"/>
      <c r="D183" s="279"/>
      <c r="E183" s="280"/>
      <c r="F183" s="281"/>
      <c r="G183" s="282"/>
      <c r="H183" s="283"/>
      <c r="I183" s="428" t="str">
        <f t="shared" si="11"/>
        <v/>
      </c>
      <c r="S183" s="440"/>
      <c r="T183" s="441"/>
      <c r="U183" s="441"/>
      <c r="V183" s="441"/>
      <c r="W183" s="441"/>
      <c r="X183" s="442"/>
    </row>
    <row r="184" spans="2:24" x14ac:dyDescent="0.15">
      <c r="B184" s="277"/>
      <c r="C184" s="278"/>
      <c r="D184" s="279"/>
      <c r="E184" s="280"/>
      <c r="F184" s="281"/>
      <c r="G184" s="282"/>
      <c r="H184" s="283"/>
      <c r="I184" s="428" t="str">
        <f t="shared" si="11"/>
        <v/>
      </c>
      <c r="S184" s="440"/>
      <c r="T184" s="441"/>
      <c r="U184" s="441"/>
      <c r="V184" s="441"/>
      <c r="W184" s="441"/>
      <c r="X184" s="442"/>
    </row>
    <row r="185" spans="2:24" x14ac:dyDescent="0.15">
      <c r="B185" s="277"/>
      <c r="C185" s="278"/>
      <c r="D185" s="279"/>
      <c r="E185" s="280"/>
      <c r="F185" s="281"/>
      <c r="G185" s="282"/>
      <c r="H185" s="283"/>
      <c r="I185" s="428" t="str">
        <f t="shared" si="11"/>
        <v/>
      </c>
      <c r="S185" s="440"/>
      <c r="T185" s="441"/>
      <c r="U185" s="441"/>
      <c r="V185" s="441"/>
      <c r="W185" s="441"/>
      <c r="X185" s="442"/>
    </row>
    <row r="186" spans="2:24" x14ac:dyDescent="0.15">
      <c r="B186" s="277"/>
      <c r="C186" s="278"/>
      <c r="D186" s="279"/>
      <c r="E186" s="280"/>
      <c r="F186" s="281"/>
      <c r="G186" s="282"/>
      <c r="H186" s="283"/>
      <c r="I186" s="428" t="str">
        <f t="shared" ref="I186:I194" si="12">IF($E186="","",$F186*$H186/G186)</f>
        <v/>
      </c>
      <c r="S186" s="440"/>
      <c r="T186" s="441"/>
      <c r="U186" s="441"/>
      <c r="V186" s="441"/>
      <c r="W186" s="441"/>
      <c r="X186" s="442"/>
    </row>
    <row r="187" spans="2:24" x14ac:dyDescent="0.15">
      <c r="B187" s="277"/>
      <c r="C187" s="278"/>
      <c r="D187" s="279"/>
      <c r="E187" s="280"/>
      <c r="F187" s="281"/>
      <c r="G187" s="282"/>
      <c r="H187" s="283"/>
      <c r="I187" s="428" t="str">
        <f t="shared" si="12"/>
        <v/>
      </c>
      <c r="S187" s="440"/>
      <c r="T187" s="441"/>
      <c r="U187" s="441"/>
      <c r="V187" s="441"/>
      <c r="W187" s="441"/>
      <c r="X187" s="442"/>
    </row>
    <row r="188" spans="2:24" x14ac:dyDescent="0.15">
      <c r="B188" s="277"/>
      <c r="C188" s="278"/>
      <c r="D188" s="279"/>
      <c r="E188" s="280"/>
      <c r="F188" s="281"/>
      <c r="G188" s="282"/>
      <c r="H188" s="283"/>
      <c r="I188" s="428" t="str">
        <f t="shared" si="12"/>
        <v/>
      </c>
      <c r="S188" s="440"/>
      <c r="T188" s="441"/>
      <c r="U188" s="441"/>
      <c r="V188" s="441"/>
      <c r="W188" s="441"/>
      <c r="X188" s="442"/>
    </row>
    <row r="189" spans="2:24" x14ac:dyDescent="0.15">
      <c r="B189" s="277"/>
      <c r="C189" s="278"/>
      <c r="D189" s="279"/>
      <c r="E189" s="280"/>
      <c r="F189" s="281"/>
      <c r="G189" s="282"/>
      <c r="H189" s="283"/>
      <c r="I189" s="428" t="str">
        <f t="shared" si="12"/>
        <v/>
      </c>
      <c r="S189" s="440"/>
      <c r="T189" s="441"/>
      <c r="U189" s="441"/>
      <c r="V189" s="441"/>
      <c r="W189" s="441"/>
      <c r="X189" s="442"/>
    </row>
    <row r="190" spans="2:24" x14ac:dyDescent="0.15">
      <c r="B190" s="277"/>
      <c r="C190" s="278"/>
      <c r="D190" s="279"/>
      <c r="E190" s="280"/>
      <c r="F190" s="281"/>
      <c r="G190" s="282"/>
      <c r="H190" s="283"/>
      <c r="I190" s="428" t="str">
        <f t="shared" si="12"/>
        <v/>
      </c>
      <c r="S190" s="440"/>
      <c r="T190" s="441"/>
      <c r="U190" s="441"/>
      <c r="V190" s="441"/>
      <c r="W190" s="441"/>
      <c r="X190" s="442"/>
    </row>
    <row r="191" spans="2:24" x14ac:dyDescent="0.15">
      <c r="B191" s="277"/>
      <c r="C191" s="278"/>
      <c r="D191" s="279"/>
      <c r="E191" s="280"/>
      <c r="F191" s="281"/>
      <c r="G191" s="282"/>
      <c r="H191" s="283"/>
      <c r="I191" s="428" t="str">
        <f t="shared" si="12"/>
        <v/>
      </c>
      <c r="S191" s="440"/>
      <c r="T191" s="441"/>
      <c r="U191" s="441"/>
      <c r="V191" s="441"/>
      <c r="W191" s="441"/>
      <c r="X191" s="442"/>
    </row>
    <row r="192" spans="2:24" x14ac:dyDescent="0.15">
      <c r="B192" s="277"/>
      <c r="C192" s="278"/>
      <c r="D192" s="279"/>
      <c r="E192" s="280"/>
      <c r="F192" s="281"/>
      <c r="G192" s="282"/>
      <c r="H192" s="283"/>
      <c r="I192" s="428" t="str">
        <f t="shared" si="12"/>
        <v/>
      </c>
      <c r="S192" s="440"/>
      <c r="T192" s="441"/>
      <c r="U192" s="441"/>
      <c r="V192" s="441"/>
      <c r="W192" s="441"/>
      <c r="X192" s="442"/>
    </row>
    <row r="193" spans="2:24" x14ac:dyDescent="0.15">
      <c r="B193" s="277"/>
      <c r="C193" s="278"/>
      <c r="D193" s="279"/>
      <c r="E193" s="280"/>
      <c r="F193" s="281"/>
      <c r="G193" s="282"/>
      <c r="H193" s="283"/>
      <c r="I193" s="428" t="str">
        <f t="shared" si="12"/>
        <v/>
      </c>
      <c r="S193" s="440"/>
      <c r="T193" s="441"/>
      <c r="U193" s="441"/>
      <c r="V193" s="441"/>
      <c r="W193" s="441"/>
      <c r="X193" s="442"/>
    </row>
    <row r="194" spans="2:24" ht="14.25" thickBot="1" x14ac:dyDescent="0.2">
      <c r="B194" s="284"/>
      <c r="C194" s="285"/>
      <c r="D194" s="286"/>
      <c r="E194" s="287"/>
      <c r="F194" s="288"/>
      <c r="G194" s="289"/>
      <c r="H194" s="290"/>
      <c r="I194" s="429" t="str">
        <f t="shared" si="12"/>
        <v/>
      </c>
      <c r="S194" s="440"/>
      <c r="T194" s="441"/>
      <c r="U194" s="441"/>
      <c r="V194" s="441"/>
      <c r="W194" s="441"/>
      <c r="X194" s="442"/>
    </row>
    <row r="195" spans="2:24" ht="14.25" thickBot="1" x14ac:dyDescent="0.2">
      <c r="C195" s="291"/>
      <c r="D195" s="292"/>
      <c r="E195" s="293"/>
      <c r="F195" s="293"/>
      <c r="G195" s="294"/>
      <c r="H195" s="295" t="s">
        <v>265</v>
      </c>
      <c r="I195" s="430">
        <f>SUM(I178:I194)</f>
        <v>0</v>
      </c>
      <c r="S195" s="440"/>
      <c r="T195" s="441"/>
      <c r="U195" s="441"/>
      <c r="V195" s="441"/>
      <c r="W195" s="441"/>
      <c r="X195" s="442"/>
    </row>
    <row r="196" spans="2:24" x14ac:dyDescent="0.15">
      <c r="S196" s="440"/>
      <c r="T196" s="441"/>
      <c r="U196" s="441"/>
      <c r="V196" s="441"/>
      <c r="W196" s="441"/>
      <c r="X196" s="442"/>
    </row>
    <row r="197" spans="2:24" x14ac:dyDescent="0.15">
      <c r="S197" s="440"/>
      <c r="T197" s="441"/>
      <c r="U197" s="441"/>
      <c r="V197" s="441"/>
      <c r="W197" s="441"/>
      <c r="X197" s="442"/>
    </row>
    <row r="198" spans="2:24" x14ac:dyDescent="0.15">
      <c r="S198" s="440"/>
      <c r="T198" s="441"/>
      <c r="U198" s="441"/>
      <c r="V198" s="441"/>
      <c r="W198" s="441"/>
      <c r="X198" s="442"/>
    </row>
    <row r="199" spans="2:24" x14ac:dyDescent="0.15">
      <c r="S199" s="440"/>
      <c r="T199" s="441"/>
      <c r="U199" s="441"/>
      <c r="V199" s="441"/>
      <c r="W199" s="441"/>
      <c r="X199" s="442"/>
    </row>
    <row r="200" spans="2:24" ht="14.25" thickBot="1" x14ac:dyDescent="0.2">
      <c r="S200" s="443"/>
      <c r="T200" s="444"/>
      <c r="U200" s="444"/>
      <c r="V200" s="444"/>
      <c r="W200" s="444"/>
      <c r="X200" s="445"/>
    </row>
  </sheetData>
  <mergeCells count="11">
    <mergeCell ref="W16:X16"/>
    <mergeCell ref="W17:X93"/>
    <mergeCell ref="S153:X200"/>
    <mergeCell ref="S117:X149"/>
    <mergeCell ref="S17:T93"/>
    <mergeCell ref="U17:V93"/>
    <mergeCell ref="S15:T15"/>
    <mergeCell ref="U15:V15"/>
    <mergeCell ref="W15:X15"/>
    <mergeCell ref="S16:T16"/>
    <mergeCell ref="U16:V16"/>
  </mergeCells>
  <phoneticPr fontId="3"/>
  <conditionalFormatting sqref="N147:N148 K147:K148 H147:H148 H163:H164 K163:K164 N163:N164">
    <cfRule type="cellIs" dxfId="3" priority="1" stopIfTrue="1" operator="equal">
      <formula>""""""</formula>
    </cfRule>
  </conditionalFormatting>
  <conditionalFormatting sqref="I151:J158 I160:J160 I162:J165 I167:J168 I170:J170">
    <cfRule type="expression" dxfId="2" priority="2" stopIfTrue="1">
      <formula>$I$150="↓項目固定サンプルNO"</formula>
    </cfRule>
  </conditionalFormatting>
  <conditionalFormatting sqref="L151:M158 L160:M160 L162:M165 L167:M168 L170:M170">
    <cfRule type="expression" dxfId="1" priority="3" stopIfTrue="1">
      <formula>$L$150="↓項目固定サンプルNO"</formula>
    </cfRule>
  </conditionalFormatting>
  <conditionalFormatting sqref="O151:P158 O160:P160 O162:P165 O167:P168 O170:P170">
    <cfRule type="expression" dxfId="0" priority="4" stopIfTrue="1">
      <formula>$O$150="↓項目固定サンプルNO"</formula>
    </cfRule>
  </conditionalFormatting>
  <pageMargins left="0.56999999999999995" right="0.27" top="0.21" bottom="0.19" header="0.19" footer="0.2"/>
  <pageSetup paperSize="9" scale="34" orientation="landscape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E16"/>
  <sheetViews>
    <sheetView workbookViewId="0">
      <selection activeCell="C9" sqref="C9"/>
    </sheetView>
  </sheetViews>
  <sheetFormatPr defaultRowHeight="13.5" x14ac:dyDescent="0.15"/>
  <cols>
    <col min="1" max="1" width="4.75" style="9" customWidth="1"/>
    <col min="2" max="2" width="14" style="9" customWidth="1"/>
    <col min="3" max="5" width="18.375" style="9" customWidth="1"/>
    <col min="6" max="16384" width="9" style="9"/>
  </cols>
  <sheetData>
    <row r="2" spans="2:5" x14ac:dyDescent="0.15">
      <c r="B2" s="322" t="s">
        <v>303</v>
      </c>
      <c r="C2" s="323" t="str">
        <f>IF(原価試算!D2="","",原価試算!D2)</f>
        <v/>
      </c>
    </row>
    <row r="4" spans="2:5" x14ac:dyDescent="0.15">
      <c r="B4" s="10" t="s">
        <v>304</v>
      </c>
      <c r="C4" s="11" t="str">
        <f>IF(原価試算!I13="","",原価試算!I13)</f>
        <v/>
      </c>
      <c r="D4" s="11" t="str">
        <f>IF(原価試算!L13="","",原価試算!L13)</f>
        <v/>
      </c>
      <c r="E4" s="11" t="str">
        <f>IF(原価試算!O13="","",原価試算!O13)</f>
        <v/>
      </c>
    </row>
    <row r="5" spans="2:5" x14ac:dyDescent="0.15">
      <c r="B5" s="10" t="s">
        <v>305</v>
      </c>
      <c r="C5" s="12" t="str">
        <f>IF(C4="","",ROUNDUP(原価試算!I160,2))</f>
        <v/>
      </c>
      <c r="D5" s="12" t="str">
        <f>IF(D4="","",ROUNDUP(原価試算!L160,2))</f>
        <v/>
      </c>
      <c r="E5" s="12" t="str">
        <f>IF(E4="","",ROUNDUP(原価試算!O160,2))</f>
        <v/>
      </c>
    </row>
    <row r="6" spans="2:5" x14ac:dyDescent="0.15">
      <c r="B6" s="10" t="s">
        <v>306</v>
      </c>
      <c r="C6" s="13" t="str">
        <f>IF(C5="","",原価試算!E152)</f>
        <v/>
      </c>
      <c r="D6" s="11" t="str">
        <f t="shared" ref="D6:E9" si="0">IF(D$4="","",$C6)</f>
        <v/>
      </c>
      <c r="E6" s="11" t="str">
        <f t="shared" si="0"/>
        <v/>
      </c>
    </row>
    <row r="7" spans="2:5" x14ac:dyDescent="0.15">
      <c r="B7" s="10" t="s">
        <v>307</v>
      </c>
      <c r="C7" s="13" t="str">
        <f>IF(C5="","",原価試算!E158)</f>
        <v/>
      </c>
      <c r="D7" s="11" t="str">
        <f t="shared" si="0"/>
        <v/>
      </c>
      <c r="E7" s="11" t="str">
        <f t="shared" si="0"/>
        <v/>
      </c>
    </row>
    <row r="8" spans="2:5" x14ac:dyDescent="0.15">
      <c r="B8" s="10" t="s">
        <v>308</v>
      </c>
      <c r="C8" s="13"/>
      <c r="D8" s="11" t="str">
        <f t="shared" si="0"/>
        <v/>
      </c>
      <c r="E8" s="11" t="str">
        <f t="shared" si="0"/>
        <v/>
      </c>
    </row>
    <row r="9" spans="2:5" x14ac:dyDescent="0.15">
      <c r="B9" s="10" t="s">
        <v>309</v>
      </c>
      <c r="C9" s="13" t="str">
        <f>IF(C5="","",原価試算!E156)</f>
        <v/>
      </c>
      <c r="D9" s="11" t="str">
        <f t="shared" si="0"/>
        <v/>
      </c>
      <c r="E9" s="11" t="str">
        <f t="shared" si="0"/>
        <v/>
      </c>
    </row>
    <row r="10" spans="2:5" x14ac:dyDescent="0.15">
      <c r="B10" s="10" t="s">
        <v>310</v>
      </c>
      <c r="C10" s="13" t="str">
        <f>IF(C5="","",原価試算!$I$170)</f>
        <v/>
      </c>
      <c r="D10" s="13" t="str">
        <f>IF(D5="","",原価試算!$L$170)</f>
        <v/>
      </c>
      <c r="E10" s="13" t="str">
        <f>IF(E5="","",原価試算!$O$170)</f>
        <v/>
      </c>
    </row>
    <row r="11" spans="2:5" x14ac:dyDescent="0.15">
      <c r="B11" s="10" t="s">
        <v>297</v>
      </c>
      <c r="C11" s="13" t="str">
        <f>IF(C5="","",原価試算!$I$171&amp;原価試算!$J$171)</f>
        <v/>
      </c>
      <c r="D11" s="13" t="str">
        <f>IF(D5="","",原価試算!$L$171&amp;原価試算!$M$171)</f>
        <v/>
      </c>
      <c r="E11" s="13" t="str">
        <f>IF(E5="","",原価試算!$O$171&amp;原価試算!$P$171)</f>
        <v/>
      </c>
    </row>
    <row r="12" spans="2:5" x14ac:dyDescent="0.15">
      <c r="B12" s="10" t="s">
        <v>298</v>
      </c>
      <c r="C12" s="13" t="str">
        <f>IF(C5="","",原価試算!$I$172)</f>
        <v/>
      </c>
      <c r="D12" s="13" t="str">
        <f>IF(D5="","",原価試算!$L$172)</f>
        <v/>
      </c>
      <c r="E12" s="13" t="str">
        <f>IF(E5="","",原価試算!$O$172)</f>
        <v/>
      </c>
    </row>
    <row r="13" spans="2:5" x14ac:dyDescent="0.15">
      <c r="B13" s="10" t="s">
        <v>299</v>
      </c>
      <c r="C13" s="13" t="str">
        <f>IF(C5="","",原価試算!$I$173)</f>
        <v/>
      </c>
      <c r="D13" s="13" t="str">
        <f>IF(D5="","",原価試算!$L$173)</f>
        <v/>
      </c>
      <c r="E13" s="13" t="str">
        <f>IF(E5="","",原価試算!$O$173)</f>
        <v/>
      </c>
    </row>
    <row r="14" spans="2:5" x14ac:dyDescent="0.15">
      <c r="B14" s="324" t="s">
        <v>311</v>
      </c>
    </row>
    <row r="15" spans="2:5" x14ac:dyDescent="0.15">
      <c r="B15" s="9" t="s">
        <v>312</v>
      </c>
    </row>
    <row r="16" spans="2:5" x14ac:dyDescent="0.15">
      <c r="B16" s="324" t="s">
        <v>313</v>
      </c>
    </row>
  </sheetData>
  <phoneticPr fontId="3"/>
  <pageMargins left="0.75" right="0.75" top="1" bottom="1" header="0.51200000000000001" footer="0.51200000000000001"/>
  <pageSetup paperSize="9" orientation="portrait" horizontalDpi="300" verticalDpi="300" copies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145"/>
  <sheetViews>
    <sheetView zoomScale="80" workbookViewId="0"/>
  </sheetViews>
  <sheetFormatPr defaultRowHeight="13.5" x14ac:dyDescent="0.15"/>
  <cols>
    <col min="1" max="1" width="1.5" style="9" customWidth="1"/>
    <col min="2" max="2" width="7.25" style="9" customWidth="1"/>
    <col min="3" max="3" width="3.875" style="9" hidden="1" customWidth="1"/>
    <col min="4" max="4" width="15" style="9" customWidth="1"/>
    <col min="5" max="5" width="60.625" style="9" customWidth="1"/>
    <col min="6" max="9" width="15.875" style="9" customWidth="1"/>
    <col min="10" max="16384" width="9" style="9"/>
  </cols>
  <sheetData>
    <row r="1" spans="2:9" ht="30" customHeight="1" x14ac:dyDescent="0.15">
      <c r="B1" s="19" t="s">
        <v>266</v>
      </c>
      <c r="C1" s="14"/>
      <c r="D1" s="14"/>
      <c r="E1" s="15" t="s">
        <v>267</v>
      </c>
      <c r="F1" s="15"/>
      <c r="H1" s="308" t="str">
        <f>I1</f>
        <v/>
      </c>
      <c r="I1" s="307" t="str">
        <f>IF(原価試算!I1="","",原価試算!I1)</f>
        <v/>
      </c>
    </row>
    <row r="2" spans="2:9" ht="45" customHeight="1" thickBot="1" x14ac:dyDescent="0.25">
      <c r="B2" s="43" t="s">
        <v>268</v>
      </c>
      <c r="D2" s="44" t="str">
        <f>IF(原価試算!D2="","",原価試算!D2)</f>
        <v/>
      </c>
      <c r="E2" s="18"/>
      <c r="F2" s="18"/>
      <c r="G2" s="18"/>
      <c r="H2" s="18"/>
      <c r="I2" s="18"/>
    </row>
    <row r="3" spans="2:9" ht="15" thickTop="1" thickBot="1" x14ac:dyDescent="0.2"/>
    <row r="4" spans="2:9" x14ac:dyDescent="0.15">
      <c r="B4" s="20" t="s">
        <v>375</v>
      </c>
      <c r="F4" s="16" t="s">
        <v>299</v>
      </c>
      <c r="G4" s="352" t="str">
        <f>IF(原価試算!$I$173="","",原価試算!$I$173)</f>
        <v/>
      </c>
      <c r="H4" s="352" t="str">
        <f>IF(原価試算!$L$173="","",原価試算!$L$173)</f>
        <v/>
      </c>
      <c r="I4" s="353" t="str">
        <f>IF(原価試算!$O$173="","",原価試算!$O$173)</f>
        <v/>
      </c>
    </row>
    <row r="5" spans="2:9" ht="14.25" thickBot="1" x14ac:dyDescent="0.2">
      <c r="B5" s="20" t="s">
        <v>269</v>
      </c>
      <c r="F5" s="17" t="s">
        <v>373</v>
      </c>
      <c r="G5" s="354" t="str">
        <f>IF(原価試算!$I$171="","",IF(COUNTIF(原価試算!$J$171,"*t*"),原価試算!$I$171*1000,IF(COUNTIF(原価試算!$J$171,"*ケース*"),原価試算!$I$171*原価試算!$I$152/1000,IF(COUNTIF(原価試算!$J$171,"*個*"),原価試算!$I$171*原価試算!$E$159/1000,原価試算!$I$171))))</f>
        <v/>
      </c>
      <c r="H5" s="354" t="str">
        <f>IF(原価試算!$L$171="","",IF(COUNTIF(原価試算!$M$171,"*t*"),原価試算!$L$171*1000,IF(COUNTIF(原価試算!$M$171,"*ケース*"),原価試算!$L$171*原価試算!$I$152/1000,IF(COUNTIF(原価試算!$M$171,"*個*"),原価試算!$L$171*原価試算!$E$159/1000,原価試算!$L$171))))</f>
        <v/>
      </c>
      <c r="I5" s="355" t="str">
        <f>IF(原価試算!$O$171="","",IF(COUNTIF(原価試算!$P$171,"*t*"),原価試算!$O$171*1000,IF(COUNTIF(原価試算!$P$171,"*ケース*"),原価試算!$O$171*原価試算!$I$152/1000,IF(COUNTIF(原価試算!$P$171,"*個*"),原価試算!$O$171*原価試算!$E$159/1000,原価試算!$O$171))))</f>
        <v/>
      </c>
    </row>
    <row r="6" spans="2:9" ht="14.25" thickBot="1" x14ac:dyDescent="0.2">
      <c r="G6" s="356" t="str">
        <f>IF(原価試算!$J$171="","",RIGHT(原価試算!$J$171,(LEN(原価試算!$J$171) - SEARCH("/",原価試算!$J$171,1)+1)))</f>
        <v/>
      </c>
      <c r="H6" s="357" t="str">
        <f>IF(原価試算!$M$171="","",RIGHT(原価試算!$M$171,(LEN(原価試算!$M$171) - SEARCH("/",原価試算!$M$171,1)+1)))</f>
        <v/>
      </c>
      <c r="I6" s="358" t="str">
        <f>IF(原価試算!$P$171="","",RIGHT(原価試算!$P$171,(LEN(原価試算!$P$171) - SEARCH("/",原価試算!$P$171,1)+1)))</f>
        <v/>
      </c>
    </row>
    <row r="7" spans="2:9" hidden="1" x14ac:dyDescent="0.15"/>
    <row r="8" spans="2:9" hidden="1" x14ac:dyDescent="0.15"/>
    <row r="9" spans="2:9" hidden="1" x14ac:dyDescent="0.15"/>
    <row r="10" spans="2:9" hidden="1" x14ac:dyDescent="0.15"/>
    <row r="11" spans="2:9" hidden="1" x14ac:dyDescent="0.15"/>
    <row r="12" spans="2:9" ht="14.25" thickBot="1" x14ac:dyDescent="0.2">
      <c r="B12" s="9" t="s">
        <v>270</v>
      </c>
    </row>
    <row r="13" spans="2:9" ht="17.25" customHeight="1" x14ac:dyDescent="0.15">
      <c r="B13" s="21"/>
      <c r="C13" s="25" t="s">
        <v>271</v>
      </c>
      <c r="D13" s="26" t="s">
        <v>272</v>
      </c>
      <c r="E13" s="466" t="s">
        <v>273</v>
      </c>
      <c r="F13" s="467"/>
      <c r="G13" s="22"/>
      <c r="H13" s="22" t="s">
        <v>374</v>
      </c>
      <c r="I13" s="23"/>
    </row>
    <row r="14" spans="2:9" ht="17.25" customHeight="1" thickBot="1" x14ac:dyDescent="0.2">
      <c r="B14" s="24"/>
      <c r="C14" s="27" t="s">
        <v>274</v>
      </c>
      <c r="D14" s="28" t="s">
        <v>275</v>
      </c>
      <c r="E14" s="468"/>
      <c r="F14" s="469"/>
      <c r="G14" s="29"/>
      <c r="H14" s="30"/>
      <c r="I14" s="31"/>
    </row>
    <row r="15" spans="2:9" ht="14.25" customHeight="1" thickTop="1" x14ac:dyDescent="0.15">
      <c r="B15" s="32"/>
      <c r="C15" s="33"/>
      <c r="D15" s="33"/>
      <c r="E15" s="470" t="s">
        <v>276</v>
      </c>
      <c r="F15" s="471"/>
      <c r="G15" s="296"/>
      <c r="H15" s="296"/>
      <c r="I15" s="297"/>
    </row>
    <row r="16" spans="2:9" ht="17.25" customHeight="1" x14ac:dyDescent="0.15">
      <c r="B16" s="34">
        <v>1</v>
      </c>
      <c r="C16" s="35" t="str">
        <f>IF(原価試算!C16="","",原価試算!C16)</f>
        <v/>
      </c>
      <c r="D16" s="36" t="str">
        <f>IF(原価試算!D16="","",原価試算!D16)</f>
        <v/>
      </c>
      <c r="E16" s="472" t="str">
        <f>IF(原価試算!E16="","",原価試算!E16)</f>
        <v/>
      </c>
      <c r="F16" s="473"/>
      <c r="G16" s="346" t="str">
        <f>IF(原価試算!H16="","",原価試算!H16/原価試算!H$149*$G$5)</f>
        <v/>
      </c>
      <c r="H16" s="345" t="str">
        <f>IF(原価試算!K16="","",原価試算!K16/原価試算!K$149*$G$5)</f>
        <v/>
      </c>
      <c r="I16" s="347" t="str">
        <f>IF(原価試算!N16="","",原価試算!N16/原価試算!N$149*$G$5)</f>
        <v/>
      </c>
    </row>
    <row r="17" spans="2:9" ht="17.25" customHeight="1" x14ac:dyDescent="0.15">
      <c r="B17" s="34">
        <v>2</v>
      </c>
      <c r="C17" s="35" t="str">
        <f>IF(原価試算!C17="","",原価試算!C17)</f>
        <v/>
      </c>
      <c r="D17" s="36" t="str">
        <f>IF(原価試算!D17="","",原価試算!D17)</f>
        <v/>
      </c>
      <c r="E17" s="472" t="str">
        <f>IF(原価試算!E17="","",原価試算!E17)</f>
        <v/>
      </c>
      <c r="F17" s="473"/>
      <c r="G17" s="344" t="str">
        <f>IF(原価試算!H17="","",原価試算!H17/原価試算!H$149*$G$5)</f>
        <v/>
      </c>
      <c r="H17" s="345" t="str">
        <f>IF(原価試算!K17="","",原価試算!K17/原価試算!K$149*$G$5)</f>
        <v/>
      </c>
      <c r="I17" s="347" t="str">
        <f>IF(原価試算!N17="","",原価試算!N17/原価試算!N$149*$G$5)</f>
        <v/>
      </c>
    </row>
    <row r="18" spans="2:9" ht="17.25" customHeight="1" x14ac:dyDescent="0.15">
      <c r="B18" s="34">
        <v>3</v>
      </c>
      <c r="C18" s="35" t="str">
        <f>IF(原価試算!C18="","",原価試算!C18)</f>
        <v/>
      </c>
      <c r="D18" s="36" t="str">
        <f>IF(原価試算!D18="","",原価試算!D18)</f>
        <v/>
      </c>
      <c r="E18" s="472" t="str">
        <f>IF(原価試算!E18="","",原価試算!E18)</f>
        <v/>
      </c>
      <c r="F18" s="473"/>
      <c r="G18" s="344" t="str">
        <f>IF(原価試算!H18="","",原価試算!H18/原価試算!H$149*$G$5)</f>
        <v/>
      </c>
      <c r="H18" s="345" t="str">
        <f>IF(原価試算!K18="","",原価試算!K18/原価試算!K$149*$G$5)</f>
        <v/>
      </c>
      <c r="I18" s="347" t="str">
        <f>IF(原価試算!N18="","",原価試算!N18/原価試算!N$149*$G$5)</f>
        <v/>
      </c>
    </row>
    <row r="19" spans="2:9" ht="17.25" customHeight="1" x14ac:dyDescent="0.15">
      <c r="B19" s="34">
        <v>4</v>
      </c>
      <c r="C19" s="35" t="str">
        <f>IF(原価試算!C19="","",原価試算!C19)</f>
        <v/>
      </c>
      <c r="D19" s="36" t="str">
        <f>IF(原価試算!D19="","",原価試算!D19)</f>
        <v/>
      </c>
      <c r="E19" s="472" t="str">
        <f>IF(原価試算!E19="","",原価試算!E19)</f>
        <v/>
      </c>
      <c r="F19" s="473"/>
      <c r="G19" s="344" t="str">
        <f>IF(原価試算!H19="","",原価試算!H19/原価試算!H$149*$G$5)</f>
        <v/>
      </c>
      <c r="H19" s="345" t="str">
        <f>IF(原価試算!K19="","",原価試算!K19/原価試算!K$149*$G$5)</f>
        <v/>
      </c>
      <c r="I19" s="347" t="str">
        <f>IF(原価試算!N19="","",原価試算!N19/原価試算!N$149*$G$5)</f>
        <v/>
      </c>
    </row>
    <row r="20" spans="2:9" ht="17.25" customHeight="1" x14ac:dyDescent="0.15">
      <c r="B20" s="34">
        <v>5</v>
      </c>
      <c r="C20" s="35" t="str">
        <f>IF(原価試算!C20="","",原価試算!C20)</f>
        <v/>
      </c>
      <c r="D20" s="36" t="str">
        <f>IF(原価試算!D20="","",原価試算!D20)</f>
        <v/>
      </c>
      <c r="E20" s="472" t="str">
        <f>IF(原価試算!E20="","",原価試算!E20)</f>
        <v/>
      </c>
      <c r="F20" s="473"/>
      <c r="G20" s="344" t="str">
        <f>IF(原価試算!H20="","",原価試算!H20/原価試算!H$149*$G$5)</f>
        <v/>
      </c>
      <c r="H20" s="345" t="str">
        <f>IF(原価試算!K20="","",原価試算!K20/原価試算!K$149*$G$5)</f>
        <v/>
      </c>
      <c r="I20" s="347" t="str">
        <f>IF(原価試算!N20="","",原価試算!N20/原価試算!N$149*$G$5)</f>
        <v/>
      </c>
    </row>
    <row r="21" spans="2:9" ht="17.25" customHeight="1" x14ac:dyDescent="0.15">
      <c r="B21" s="34">
        <v>6</v>
      </c>
      <c r="C21" s="35" t="str">
        <f>IF(原価試算!C21="","",原価試算!C21)</f>
        <v/>
      </c>
      <c r="D21" s="36" t="str">
        <f>IF(原価試算!D21="","",原価試算!D21)</f>
        <v/>
      </c>
      <c r="E21" s="472" t="str">
        <f>IF(原価試算!E21="","",原価試算!E21)</f>
        <v/>
      </c>
      <c r="F21" s="473"/>
      <c r="G21" s="344" t="str">
        <f>IF(原価試算!H21="","",原価試算!H21/原価試算!H$149*$G$5)</f>
        <v/>
      </c>
      <c r="H21" s="345" t="str">
        <f>IF(原価試算!K21="","",原価試算!K21/原価試算!K$149*$G$5)</f>
        <v/>
      </c>
      <c r="I21" s="347" t="str">
        <f>IF(原価試算!N21="","",原価試算!N21/原価試算!N$149*$G$5)</f>
        <v/>
      </c>
    </row>
    <row r="22" spans="2:9" ht="17.25" customHeight="1" x14ac:dyDescent="0.15">
      <c r="B22" s="34">
        <v>7</v>
      </c>
      <c r="C22" s="35" t="str">
        <f>IF(原価試算!C22="","",原価試算!C22)</f>
        <v/>
      </c>
      <c r="D22" s="36" t="str">
        <f>IF(原価試算!D22="","",原価試算!D22)</f>
        <v/>
      </c>
      <c r="E22" s="472" t="str">
        <f>IF(原価試算!E22="","",原価試算!E22)</f>
        <v/>
      </c>
      <c r="F22" s="473"/>
      <c r="G22" s="344" t="str">
        <f>IF(原価試算!H22="","",原価試算!H22/原価試算!H$149*$G$5)</f>
        <v/>
      </c>
      <c r="H22" s="345" t="str">
        <f>IF(原価試算!K22="","",原価試算!K22/原価試算!K$149*$G$5)</f>
        <v/>
      </c>
      <c r="I22" s="347" t="str">
        <f>IF(原価試算!N22="","",原価試算!N22/原価試算!N$149*$G$5)</f>
        <v/>
      </c>
    </row>
    <row r="23" spans="2:9" ht="17.25" customHeight="1" x14ac:dyDescent="0.15">
      <c r="B23" s="34">
        <v>8</v>
      </c>
      <c r="C23" s="35" t="str">
        <f>IF(原価試算!C23="","",原価試算!C23)</f>
        <v/>
      </c>
      <c r="D23" s="36" t="str">
        <f>IF(原価試算!D23="","",原価試算!D23)</f>
        <v/>
      </c>
      <c r="E23" s="472" t="str">
        <f>IF(原価試算!E23="","",原価試算!E23)</f>
        <v/>
      </c>
      <c r="F23" s="473"/>
      <c r="G23" s="344" t="str">
        <f>IF(原価試算!H23="","",原価試算!H23/原価試算!H$149*$G$5)</f>
        <v/>
      </c>
      <c r="H23" s="345" t="str">
        <f>IF(原価試算!K23="","",原価試算!K23/原価試算!K$149*$G$5)</f>
        <v/>
      </c>
      <c r="I23" s="347" t="str">
        <f>IF(原価試算!N23="","",原価試算!N23/原価試算!N$149*$G$5)</f>
        <v/>
      </c>
    </row>
    <row r="24" spans="2:9" ht="17.25" customHeight="1" x14ac:dyDescent="0.15">
      <c r="B24" s="34">
        <v>9</v>
      </c>
      <c r="C24" s="35" t="str">
        <f>IF(原価試算!C24="","",原価試算!C24)</f>
        <v/>
      </c>
      <c r="D24" s="36" t="str">
        <f>IF(原価試算!D24="","",原価試算!D24)</f>
        <v/>
      </c>
      <c r="E24" s="472" t="str">
        <f>IF(原価試算!E24="","",原価試算!E24)</f>
        <v/>
      </c>
      <c r="F24" s="473"/>
      <c r="G24" s="344" t="str">
        <f>IF(原価試算!H24="","",原価試算!H24/原価試算!H$149*$G$5)</f>
        <v/>
      </c>
      <c r="H24" s="345" t="str">
        <f>IF(原価試算!K24="","",原価試算!K24/原価試算!K$149*$G$5)</f>
        <v/>
      </c>
      <c r="I24" s="347" t="str">
        <f>IF(原価試算!N24="","",原価試算!N24/原価試算!N$149*$G$5)</f>
        <v/>
      </c>
    </row>
    <row r="25" spans="2:9" ht="17.25" customHeight="1" x14ac:dyDescent="0.15">
      <c r="B25" s="34">
        <v>10</v>
      </c>
      <c r="C25" s="35" t="str">
        <f>IF(原価試算!C25="","",原価試算!C25)</f>
        <v/>
      </c>
      <c r="D25" s="36" t="str">
        <f>IF(原価試算!D25="","",原価試算!D25)</f>
        <v/>
      </c>
      <c r="E25" s="472" t="str">
        <f>IF(原価試算!E25="","",原価試算!E25)</f>
        <v/>
      </c>
      <c r="F25" s="473"/>
      <c r="G25" s="344" t="str">
        <f>IF(原価試算!H25="","",原価試算!H25/原価試算!H$149*$G$5)</f>
        <v/>
      </c>
      <c r="H25" s="345" t="str">
        <f>IF(原価試算!K25="","",原価試算!K25/原価試算!K$149*$G$5)</f>
        <v/>
      </c>
      <c r="I25" s="347" t="str">
        <f>IF(原価試算!N25="","",原価試算!N25/原価試算!N$149*$G$5)</f>
        <v/>
      </c>
    </row>
    <row r="26" spans="2:9" ht="17.25" customHeight="1" x14ac:dyDescent="0.15">
      <c r="B26" s="34">
        <v>11</v>
      </c>
      <c r="C26" s="35" t="str">
        <f>IF(原価試算!C26="","",原価試算!C26)</f>
        <v/>
      </c>
      <c r="D26" s="36" t="str">
        <f>IF(原価試算!D26="","",原価試算!D26)</f>
        <v/>
      </c>
      <c r="E26" s="472" t="str">
        <f>IF(原価試算!E26="","",原価試算!E26)</f>
        <v/>
      </c>
      <c r="F26" s="473"/>
      <c r="G26" s="344" t="str">
        <f>IF(原価試算!H26="","",原価試算!H26/原価試算!H$149*$G$5)</f>
        <v/>
      </c>
      <c r="H26" s="345" t="str">
        <f>IF(原価試算!K26="","",原価試算!K26/原価試算!K$149*$G$5)</f>
        <v/>
      </c>
      <c r="I26" s="347" t="str">
        <f>IF(原価試算!N26="","",原価試算!N26/原価試算!N$149*$G$5)</f>
        <v/>
      </c>
    </row>
    <row r="27" spans="2:9" ht="17.25" customHeight="1" x14ac:dyDescent="0.15">
      <c r="B27" s="34">
        <v>12</v>
      </c>
      <c r="C27" s="35" t="str">
        <f>IF(原価試算!C27="","",原価試算!C27)</f>
        <v/>
      </c>
      <c r="D27" s="36" t="str">
        <f>IF(原価試算!D27="","",原価試算!D27)</f>
        <v/>
      </c>
      <c r="E27" s="472" t="str">
        <f>IF(原価試算!E27="","",原価試算!E27)</f>
        <v/>
      </c>
      <c r="F27" s="473"/>
      <c r="G27" s="344" t="str">
        <f>IF(原価試算!H27="","",原価試算!H27/原価試算!H$149*$G$5)</f>
        <v/>
      </c>
      <c r="H27" s="345" t="str">
        <f>IF(原価試算!K27="","",原価試算!K27/原価試算!K$149*$G$5)</f>
        <v/>
      </c>
      <c r="I27" s="347" t="str">
        <f>IF(原価試算!N27="","",原価試算!N27/原価試算!N$149*$G$5)</f>
        <v/>
      </c>
    </row>
    <row r="28" spans="2:9" ht="17.25" customHeight="1" x14ac:dyDescent="0.15">
      <c r="B28" s="34">
        <v>13</v>
      </c>
      <c r="C28" s="35" t="str">
        <f>IF(原価試算!C28="","",原価試算!C28)</f>
        <v/>
      </c>
      <c r="D28" s="36" t="str">
        <f>IF(原価試算!D28="","",原価試算!D28)</f>
        <v/>
      </c>
      <c r="E28" s="472" t="str">
        <f>IF(原価試算!E28="","",原価試算!E28)</f>
        <v/>
      </c>
      <c r="F28" s="473"/>
      <c r="G28" s="344" t="str">
        <f>IF(原価試算!H28="","",原価試算!H28/原価試算!H$149*$G$5)</f>
        <v/>
      </c>
      <c r="H28" s="345" t="str">
        <f>IF(原価試算!K28="","",原価試算!K28/原価試算!K$149*$G$5)</f>
        <v/>
      </c>
      <c r="I28" s="347" t="str">
        <f>IF(原価試算!N28="","",原価試算!N28/原価試算!N$149*$G$5)</f>
        <v/>
      </c>
    </row>
    <row r="29" spans="2:9" ht="17.25" customHeight="1" x14ac:dyDescent="0.15">
      <c r="B29" s="34">
        <v>14</v>
      </c>
      <c r="C29" s="35" t="str">
        <f>IF(原価試算!C29="","",原価試算!C29)</f>
        <v/>
      </c>
      <c r="D29" s="36" t="str">
        <f>IF(原価試算!D29="","",原価試算!D29)</f>
        <v/>
      </c>
      <c r="E29" s="472" t="str">
        <f>IF(原価試算!E29="","",原価試算!E29)</f>
        <v/>
      </c>
      <c r="F29" s="473"/>
      <c r="G29" s="344" t="str">
        <f>IF(原価試算!H29="","",原価試算!H29/原価試算!H$149*$G$5)</f>
        <v/>
      </c>
      <c r="H29" s="345" t="str">
        <f>IF(原価試算!K29="","",原価試算!K29/原価試算!K$149*$G$5)</f>
        <v/>
      </c>
      <c r="I29" s="347" t="str">
        <f>IF(原価試算!N29="","",原価試算!N29/原価試算!N$149*$G$5)</f>
        <v/>
      </c>
    </row>
    <row r="30" spans="2:9" ht="17.25" customHeight="1" x14ac:dyDescent="0.15">
      <c r="B30" s="34">
        <v>15</v>
      </c>
      <c r="C30" s="35" t="str">
        <f>IF(原価試算!C30="","",原価試算!C30)</f>
        <v/>
      </c>
      <c r="D30" s="36" t="str">
        <f>IF(原価試算!D30="","",原価試算!D30)</f>
        <v/>
      </c>
      <c r="E30" s="472" t="str">
        <f>IF(原価試算!E30="","",原価試算!E30)</f>
        <v/>
      </c>
      <c r="F30" s="473"/>
      <c r="G30" s="344" t="str">
        <f>IF(原価試算!H30="","",原価試算!H30/原価試算!H$149*$G$5)</f>
        <v/>
      </c>
      <c r="H30" s="345" t="str">
        <f>IF(原価試算!K30="","",原価試算!K30/原価試算!K$149*$G$5)</f>
        <v/>
      </c>
      <c r="I30" s="347" t="str">
        <f>IF(原価試算!N30="","",原価試算!N30/原価試算!N$149*$G$5)</f>
        <v/>
      </c>
    </row>
    <row r="31" spans="2:9" ht="17.25" customHeight="1" x14ac:dyDescent="0.15">
      <c r="B31" s="34">
        <v>16</v>
      </c>
      <c r="C31" s="35" t="str">
        <f>IF(原価試算!C31="","",原価試算!C31)</f>
        <v/>
      </c>
      <c r="D31" s="36" t="str">
        <f>IF(原価試算!D31="","",原価試算!D31)</f>
        <v/>
      </c>
      <c r="E31" s="472" t="str">
        <f>IF(原価試算!E31="","",原価試算!E31)</f>
        <v/>
      </c>
      <c r="F31" s="473"/>
      <c r="G31" s="344" t="str">
        <f>IF(原価試算!H31="","",原価試算!H31/原価試算!H$149*$G$5)</f>
        <v/>
      </c>
      <c r="H31" s="345" t="str">
        <f>IF(原価試算!K31="","",原価試算!K31/原価試算!K$149*$G$5)</f>
        <v/>
      </c>
      <c r="I31" s="347" t="str">
        <f>IF(原価試算!N31="","",原価試算!N31/原価試算!N$149*$G$5)</f>
        <v/>
      </c>
    </row>
    <row r="32" spans="2:9" ht="17.25" customHeight="1" x14ac:dyDescent="0.15">
      <c r="B32" s="34">
        <v>17</v>
      </c>
      <c r="C32" s="35" t="str">
        <f>IF(原価試算!C32="","",原価試算!C32)</f>
        <v/>
      </c>
      <c r="D32" s="36" t="str">
        <f>IF(原価試算!D32="","",原価試算!D32)</f>
        <v/>
      </c>
      <c r="E32" s="472" t="str">
        <f>IF(原価試算!E32="","",原価試算!E32)</f>
        <v/>
      </c>
      <c r="F32" s="473"/>
      <c r="G32" s="344" t="str">
        <f>IF(原価試算!H32="","",原価試算!H32/原価試算!H$149*$G$5)</f>
        <v/>
      </c>
      <c r="H32" s="345" t="str">
        <f>IF(原価試算!K32="","",原価試算!K32/原価試算!K$149*$G$5)</f>
        <v/>
      </c>
      <c r="I32" s="347" t="str">
        <f>IF(原価試算!N32="","",原価試算!N32/原価試算!N$149*$G$5)</f>
        <v/>
      </c>
    </row>
    <row r="33" spans="2:9" ht="17.25" customHeight="1" x14ac:dyDescent="0.15">
      <c r="B33" s="34">
        <v>18</v>
      </c>
      <c r="C33" s="35" t="str">
        <f>IF(原価試算!C33="","",原価試算!C33)</f>
        <v/>
      </c>
      <c r="D33" s="36" t="str">
        <f>IF(原価試算!D33="","",原価試算!D33)</f>
        <v/>
      </c>
      <c r="E33" s="472" t="str">
        <f>IF(原価試算!E33="","",原価試算!E33)</f>
        <v/>
      </c>
      <c r="F33" s="473"/>
      <c r="G33" s="344" t="str">
        <f>IF(原価試算!H33="","",原価試算!H33/原価試算!H$149*$G$5)</f>
        <v/>
      </c>
      <c r="H33" s="345" t="str">
        <f>IF(原価試算!K33="","",原価試算!K33/原価試算!K$149*$G$5)</f>
        <v/>
      </c>
      <c r="I33" s="347" t="str">
        <f>IF(原価試算!N33="","",原価試算!N33/原価試算!N$149*$G$5)</f>
        <v/>
      </c>
    </row>
    <row r="34" spans="2:9" ht="17.25" customHeight="1" x14ac:dyDescent="0.15">
      <c r="B34" s="34">
        <v>19</v>
      </c>
      <c r="C34" s="35" t="str">
        <f>IF(原価試算!C34="","",原価試算!C34)</f>
        <v/>
      </c>
      <c r="D34" s="36" t="str">
        <f>IF(原価試算!D34="","",原価試算!D34)</f>
        <v/>
      </c>
      <c r="E34" s="472" t="str">
        <f>IF(原価試算!E34="","",原価試算!E34)</f>
        <v/>
      </c>
      <c r="F34" s="473"/>
      <c r="G34" s="344" t="str">
        <f>IF(原価試算!H34="","",原価試算!H34/原価試算!H$149*$G$5)</f>
        <v/>
      </c>
      <c r="H34" s="345" t="str">
        <f>IF(原価試算!K34="","",原価試算!K34/原価試算!K$149*$G$5)</f>
        <v/>
      </c>
      <c r="I34" s="347" t="str">
        <f>IF(原価試算!N34="","",原価試算!N34/原価試算!N$149*$G$5)</f>
        <v/>
      </c>
    </row>
    <row r="35" spans="2:9" ht="17.25" customHeight="1" x14ac:dyDescent="0.15">
      <c r="B35" s="34">
        <v>20</v>
      </c>
      <c r="C35" s="35" t="str">
        <f>IF(原価試算!C35="","",原価試算!C35)</f>
        <v/>
      </c>
      <c r="D35" s="36" t="str">
        <f>IF(原価試算!D35="","",原価試算!D35)</f>
        <v/>
      </c>
      <c r="E35" s="472" t="str">
        <f>IF(原価試算!E35="","",原価試算!E35)</f>
        <v/>
      </c>
      <c r="F35" s="473"/>
      <c r="G35" s="344" t="str">
        <f>IF(原価試算!H35="","",原価試算!H35/原価試算!H$149*$G$5)</f>
        <v/>
      </c>
      <c r="H35" s="345" t="str">
        <f>IF(原価試算!K35="","",原価試算!K35/原価試算!K$149*$G$5)</f>
        <v/>
      </c>
      <c r="I35" s="347" t="str">
        <f>IF(原価試算!N35="","",原価試算!N35/原価試算!N$149*$G$5)</f>
        <v/>
      </c>
    </row>
    <row r="36" spans="2:9" ht="17.25" customHeight="1" x14ac:dyDescent="0.15">
      <c r="B36" s="34">
        <v>21</v>
      </c>
      <c r="C36" s="35" t="str">
        <f>IF(原価試算!C36="","",原価試算!C36)</f>
        <v/>
      </c>
      <c r="D36" s="36" t="str">
        <f>IF(原価試算!D36="","",原価試算!D36)</f>
        <v/>
      </c>
      <c r="E36" s="472" t="str">
        <f>IF(原価試算!E36="","",原価試算!E36)</f>
        <v/>
      </c>
      <c r="F36" s="473"/>
      <c r="G36" s="344" t="str">
        <f>IF(原価試算!H36="","",原価試算!H36/原価試算!H$149*$G$5)</f>
        <v/>
      </c>
      <c r="H36" s="345" t="str">
        <f>IF(原価試算!K36="","",原価試算!K36/原価試算!K$149*$G$5)</f>
        <v/>
      </c>
      <c r="I36" s="347" t="str">
        <f>IF(原価試算!N36="","",原価試算!N36/原価試算!N$149*$G$5)</f>
        <v/>
      </c>
    </row>
    <row r="37" spans="2:9" ht="17.25" customHeight="1" x14ac:dyDescent="0.15">
      <c r="B37" s="34">
        <v>22</v>
      </c>
      <c r="C37" s="35" t="str">
        <f>IF(原価試算!C37="","",原価試算!C37)</f>
        <v/>
      </c>
      <c r="D37" s="36" t="str">
        <f>IF(原価試算!D37="","",原価試算!D37)</f>
        <v/>
      </c>
      <c r="E37" s="472" t="str">
        <f>IF(原価試算!E37="","",原価試算!E37)</f>
        <v/>
      </c>
      <c r="F37" s="473"/>
      <c r="G37" s="344" t="str">
        <f>IF(原価試算!H37="","",原価試算!H37/原価試算!H$149*$G$5)</f>
        <v/>
      </c>
      <c r="H37" s="345" t="str">
        <f>IF(原価試算!K37="","",原価試算!K37/原価試算!K$149*$G$5)</f>
        <v/>
      </c>
      <c r="I37" s="347" t="str">
        <f>IF(原価試算!N37="","",原価試算!N37/原価試算!N$149*$G$5)</f>
        <v/>
      </c>
    </row>
    <row r="38" spans="2:9" ht="17.25" customHeight="1" x14ac:dyDescent="0.15">
      <c r="B38" s="34">
        <v>23</v>
      </c>
      <c r="C38" s="35" t="str">
        <f>IF(原価試算!C38="","",原価試算!C38)</f>
        <v/>
      </c>
      <c r="D38" s="36" t="str">
        <f>IF(原価試算!D38="","",原価試算!D38)</f>
        <v/>
      </c>
      <c r="E38" s="472" t="str">
        <f>IF(原価試算!E38="","",原価試算!E38)</f>
        <v/>
      </c>
      <c r="F38" s="473"/>
      <c r="G38" s="344" t="str">
        <f>IF(原価試算!H38="","",原価試算!H38/原価試算!H$149*$G$5)</f>
        <v/>
      </c>
      <c r="H38" s="345" t="str">
        <f>IF(原価試算!K38="","",原価試算!K38/原価試算!K$149*$G$5)</f>
        <v/>
      </c>
      <c r="I38" s="347" t="str">
        <f>IF(原価試算!N38="","",原価試算!N38/原価試算!N$149*$G$5)</f>
        <v/>
      </c>
    </row>
    <row r="39" spans="2:9" ht="17.25" customHeight="1" x14ac:dyDescent="0.15">
      <c r="B39" s="34">
        <v>24</v>
      </c>
      <c r="C39" s="35" t="str">
        <f>IF(原価試算!C39="","",原価試算!C39)</f>
        <v/>
      </c>
      <c r="D39" s="36" t="str">
        <f>IF(原価試算!D39="","",原価試算!D39)</f>
        <v/>
      </c>
      <c r="E39" s="472" t="str">
        <f>IF(原価試算!E39="","",原価試算!E39)</f>
        <v/>
      </c>
      <c r="F39" s="473"/>
      <c r="G39" s="344" t="str">
        <f>IF(原価試算!H39="","",原価試算!H39/原価試算!H$149*$G$5)</f>
        <v/>
      </c>
      <c r="H39" s="345" t="str">
        <f>IF(原価試算!K39="","",原価試算!K39/原価試算!K$149*$G$5)</f>
        <v/>
      </c>
      <c r="I39" s="347" t="str">
        <f>IF(原価試算!N39="","",原価試算!N39/原価試算!N$149*$G$5)</f>
        <v/>
      </c>
    </row>
    <row r="40" spans="2:9" ht="17.25" customHeight="1" x14ac:dyDescent="0.15">
      <c r="B40" s="34">
        <v>25</v>
      </c>
      <c r="C40" s="35" t="str">
        <f>IF(原価試算!C40="","",原価試算!C40)</f>
        <v/>
      </c>
      <c r="D40" s="36" t="str">
        <f>IF(原価試算!D40="","",原価試算!D40)</f>
        <v/>
      </c>
      <c r="E40" s="472" t="str">
        <f>IF(原価試算!E40="","",原価試算!E40)</f>
        <v/>
      </c>
      <c r="F40" s="473"/>
      <c r="G40" s="344" t="str">
        <f>IF(原価試算!H40="","",原価試算!H40/原価試算!H$149*$G$5)</f>
        <v/>
      </c>
      <c r="H40" s="345" t="str">
        <f>IF(原価試算!K40="","",原価試算!K40/原価試算!K$149*$G$5)</f>
        <v/>
      </c>
      <c r="I40" s="347" t="str">
        <f>IF(原価試算!N40="","",原価試算!N40/原価試算!N$149*$G$5)</f>
        <v/>
      </c>
    </row>
    <row r="41" spans="2:9" ht="17.25" customHeight="1" x14ac:dyDescent="0.15">
      <c r="B41" s="34">
        <v>26</v>
      </c>
      <c r="C41" s="35" t="str">
        <f>IF(原価試算!C41="","",原価試算!C41)</f>
        <v/>
      </c>
      <c r="D41" s="36" t="str">
        <f>IF(原価試算!D41="","",原価試算!D41)</f>
        <v/>
      </c>
      <c r="E41" s="472" t="str">
        <f>IF(原価試算!E41="","",原価試算!E41)</f>
        <v/>
      </c>
      <c r="F41" s="473"/>
      <c r="G41" s="344" t="str">
        <f>IF(原価試算!H41="","",原価試算!H41/原価試算!H$149*$G$5)</f>
        <v/>
      </c>
      <c r="H41" s="345" t="str">
        <f>IF(原価試算!K41="","",原価試算!K41/原価試算!K$149*$G$5)</f>
        <v/>
      </c>
      <c r="I41" s="347" t="str">
        <f>IF(原価試算!N41="","",原価試算!N41/原価試算!N$149*$G$5)</f>
        <v/>
      </c>
    </row>
    <row r="42" spans="2:9" ht="17.25" customHeight="1" x14ac:dyDescent="0.15">
      <c r="B42" s="34">
        <v>27</v>
      </c>
      <c r="C42" s="35" t="str">
        <f>IF(原価試算!C42="","",原価試算!C42)</f>
        <v/>
      </c>
      <c r="D42" s="36" t="str">
        <f>IF(原価試算!D42="","",原価試算!D42)</f>
        <v/>
      </c>
      <c r="E42" s="472" t="str">
        <f>IF(原価試算!E42="","",原価試算!E42)</f>
        <v/>
      </c>
      <c r="F42" s="473"/>
      <c r="G42" s="344" t="str">
        <f>IF(原価試算!H42="","",原価試算!H42/原価試算!H$149*$G$5)</f>
        <v/>
      </c>
      <c r="H42" s="345" t="str">
        <f>IF(原価試算!K42="","",原価試算!K42/原価試算!K$149*$G$5)</f>
        <v/>
      </c>
      <c r="I42" s="347" t="str">
        <f>IF(原価試算!N42="","",原価試算!N42/原価試算!N$149*$G$5)</f>
        <v/>
      </c>
    </row>
    <row r="43" spans="2:9" ht="17.25" customHeight="1" x14ac:dyDescent="0.15">
      <c r="B43" s="34">
        <v>28</v>
      </c>
      <c r="C43" s="35" t="str">
        <f>IF(原価試算!C43="","",原価試算!C43)</f>
        <v/>
      </c>
      <c r="D43" s="36" t="str">
        <f>IF(原価試算!D43="","",原価試算!D43)</f>
        <v/>
      </c>
      <c r="E43" s="472" t="str">
        <f>IF(原価試算!E43="","",原価試算!E43)</f>
        <v/>
      </c>
      <c r="F43" s="473"/>
      <c r="G43" s="344" t="str">
        <f>IF(原価試算!H43="","",原価試算!H43/原価試算!H$149*$G$5)</f>
        <v/>
      </c>
      <c r="H43" s="345" t="str">
        <f>IF(原価試算!K43="","",原価試算!K43/原価試算!K$149*$G$5)</f>
        <v/>
      </c>
      <c r="I43" s="347" t="str">
        <f>IF(原価試算!N43="","",原価試算!N43/原価試算!N$149*$G$5)</f>
        <v/>
      </c>
    </row>
    <row r="44" spans="2:9" ht="17.25" customHeight="1" x14ac:dyDescent="0.15">
      <c r="B44" s="34">
        <v>29</v>
      </c>
      <c r="C44" s="35" t="str">
        <f>IF(原価試算!C44="","",原価試算!C44)</f>
        <v/>
      </c>
      <c r="D44" s="36" t="str">
        <f>IF(原価試算!D44="","",原価試算!D44)</f>
        <v/>
      </c>
      <c r="E44" s="472" t="str">
        <f>IF(原価試算!E44="","",原価試算!E44)</f>
        <v/>
      </c>
      <c r="F44" s="473"/>
      <c r="G44" s="344" t="str">
        <f>IF(原価試算!H44="","",原価試算!H44/原価試算!H$149*$G$5)</f>
        <v/>
      </c>
      <c r="H44" s="345" t="str">
        <f>IF(原価試算!K44="","",原価試算!K44/原価試算!K$149*$G$5)</f>
        <v/>
      </c>
      <c r="I44" s="347" t="str">
        <f>IF(原価試算!N44="","",原価試算!N44/原価試算!N$149*$G$5)</f>
        <v/>
      </c>
    </row>
    <row r="45" spans="2:9" ht="17.25" customHeight="1" x14ac:dyDescent="0.15">
      <c r="B45" s="34">
        <v>30</v>
      </c>
      <c r="C45" s="35" t="str">
        <f>IF(原価試算!C45="","",原価試算!C45)</f>
        <v/>
      </c>
      <c r="D45" s="36" t="str">
        <f>IF(原価試算!D45="","",原価試算!D45)</f>
        <v/>
      </c>
      <c r="E45" s="472" t="str">
        <f>IF(原価試算!E45="","",原価試算!E45)</f>
        <v/>
      </c>
      <c r="F45" s="473"/>
      <c r="G45" s="344" t="str">
        <f>IF(原価試算!H45="","",原価試算!H45/原価試算!H$149*$G$5)</f>
        <v/>
      </c>
      <c r="H45" s="345" t="str">
        <f>IF(原価試算!K45="","",原価試算!K45/原価試算!K$149*$G$5)</f>
        <v/>
      </c>
      <c r="I45" s="347" t="str">
        <f>IF(原価試算!N45="","",原価試算!N45/原価試算!N$149*$G$5)</f>
        <v/>
      </c>
    </row>
    <row r="46" spans="2:9" ht="17.25" customHeight="1" x14ac:dyDescent="0.15">
      <c r="B46" s="34">
        <v>31</v>
      </c>
      <c r="C46" s="35" t="str">
        <f>IF(原価試算!C46="","",原価試算!C46)</f>
        <v/>
      </c>
      <c r="D46" s="36" t="str">
        <f>IF(原価試算!D46="","",原価試算!D46)</f>
        <v/>
      </c>
      <c r="E46" s="472" t="str">
        <f>IF(原価試算!E46="","",原価試算!E46)</f>
        <v/>
      </c>
      <c r="F46" s="473"/>
      <c r="G46" s="344" t="str">
        <f>IF(原価試算!H46="","",原価試算!H46/原価試算!H$149*$G$5)</f>
        <v/>
      </c>
      <c r="H46" s="345" t="str">
        <f>IF(原価試算!K46="","",原価試算!K46/原価試算!K$149*$G$5)</f>
        <v/>
      </c>
      <c r="I46" s="347" t="str">
        <f>IF(原価試算!N46="","",原価試算!N46/原価試算!N$149*$G$5)</f>
        <v/>
      </c>
    </row>
    <row r="47" spans="2:9" ht="17.25" customHeight="1" x14ac:dyDescent="0.15">
      <c r="B47" s="34">
        <v>32</v>
      </c>
      <c r="C47" s="35" t="str">
        <f>IF(原価試算!C47="","",原価試算!C47)</f>
        <v/>
      </c>
      <c r="D47" s="36" t="str">
        <f>IF(原価試算!D47="","",原価試算!D47)</f>
        <v/>
      </c>
      <c r="E47" s="472" t="str">
        <f>IF(原価試算!E47="","",原価試算!E47)</f>
        <v/>
      </c>
      <c r="F47" s="473"/>
      <c r="G47" s="344" t="str">
        <f>IF(原価試算!H47="","",原価試算!H47/原価試算!H$149*$G$5)</f>
        <v/>
      </c>
      <c r="H47" s="345" t="str">
        <f>IF(原価試算!K47="","",原価試算!K47/原価試算!K$149*$G$5)</f>
        <v/>
      </c>
      <c r="I47" s="347" t="str">
        <f>IF(原価試算!N47="","",原価試算!N47/原価試算!N$149*$G$5)</f>
        <v/>
      </c>
    </row>
    <row r="48" spans="2:9" ht="17.25" customHeight="1" x14ac:dyDescent="0.15">
      <c r="B48" s="34">
        <v>33</v>
      </c>
      <c r="C48" s="35" t="str">
        <f>IF(原価試算!C48="","",原価試算!C48)</f>
        <v/>
      </c>
      <c r="D48" s="36" t="str">
        <f>IF(原価試算!D48="","",原価試算!D48)</f>
        <v/>
      </c>
      <c r="E48" s="472" t="str">
        <f>IF(原価試算!E48="","",原価試算!E48)</f>
        <v/>
      </c>
      <c r="F48" s="473"/>
      <c r="G48" s="344" t="str">
        <f>IF(原価試算!H48="","",原価試算!H48/原価試算!H$149*$G$5)</f>
        <v/>
      </c>
      <c r="H48" s="345" t="str">
        <f>IF(原価試算!K48="","",原価試算!K48/原価試算!K$149*$G$5)</f>
        <v/>
      </c>
      <c r="I48" s="347" t="str">
        <f>IF(原価試算!N48="","",原価試算!N48/原価試算!N$149*$G$5)</f>
        <v/>
      </c>
    </row>
    <row r="49" spans="2:9" ht="17.25" customHeight="1" x14ac:dyDescent="0.15">
      <c r="B49" s="34">
        <v>34</v>
      </c>
      <c r="C49" s="35" t="str">
        <f>IF(原価試算!C49="","",原価試算!C49)</f>
        <v/>
      </c>
      <c r="D49" s="36" t="str">
        <f>IF(原価試算!D49="","",原価試算!D49)</f>
        <v/>
      </c>
      <c r="E49" s="472" t="str">
        <f>IF(原価試算!E49="","",原価試算!E49)</f>
        <v/>
      </c>
      <c r="F49" s="473"/>
      <c r="G49" s="344" t="str">
        <f>IF(原価試算!H49="","",原価試算!H49/原価試算!H$149*$G$5)</f>
        <v/>
      </c>
      <c r="H49" s="345" t="str">
        <f>IF(原価試算!K49="","",原価試算!K49/原価試算!K$149*$G$5)</f>
        <v/>
      </c>
      <c r="I49" s="347" t="str">
        <f>IF(原価試算!N49="","",原価試算!N49/原価試算!N$149*$G$5)</f>
        <v/>
      </c>
    </row>
    <row r="50" spans="2:9" ht="17.25" customHeight="1" x14ac:dyDescent="0.15">
      <c r="B50" s="34">
        <v>35</v>
      </c>
      <c r="C50" s="35" t="str">
        <f>IF(原価試算!C50="","",原価試算!C50)</f>
        <v/>
      </c>
      <c r="D50" s="36" t="str">
        <f>IF(原価試算!D50="","",原価試算!D50)</f>
        <v/>
      </c>
      <c r="E50" s="472" t="str">
        <f>IF(原価試算!E50="","",原価試算!E50)</f>
        <v/>
      </c>
      <c r="F50" s="473"/>
      <c r="G50" s="344" t="str">
        <f>IF(原価試算!H50="","",原価試算!H50/原価試算!H$149*$G$5)</f>
        <v/>
      </c>
      <c r="H50" s="345" t="str">
        <f>IF(原価試算!K50="","",原価試算!K50/原価試算!K$149*$G$5)</f>
        <v/>
      </c>
      <c r="I50" s="347" t="str">
        <f>IF(原価試算!N50="","",原価試算!N50/原価試算!N$149*$G$5)</f>
        <v/>
      </c>
    </row>
    <row r="51" spans="2:9" ht="17.25" customHeight="1" x14ac:dyDescent="0.15">
      <c r="B51" s="34">
        <v>36</v>
      </c>
      <c r="C51" s="35" t="str">
        <f>IF(原価試算!C51="","",原価試算!C51)</f>
        <v/>
      </c>
      <c r="D51" s="36" t="str">
        <f>IF(原価試算!D51="","",原価試算!D51)</f>
        <v/>
      </c>
      <c r="E51" s="472" t="str">
        <f>IF(原価試算!E51="","",原価試算!E51)</f>
        <v/>
      </c>
      <c r="F51" s="473"/>
      <c r="G51" s="344" t="str">
        <f>IF(原価試算!H51="","",原価試算!H51/原価試算!H$149*$G$5)</f>
        <v/>
      </c>
      <c r="H51" s="345" t="str">
        <f>IF(原価試算!K51="","",原価試算!K51/原価試算!K$149*$G$5)</f>
        <v/>
      </c>
      <c r="I51" s="347" t="str">
        <f>IF(原価試算!N51="","",原価試算!N51/原価試算!N$149*$G$5)</f>
        <v/>
      </c>
    </row>
    <row r="52" spans="2:9" ht="17.25" customHeight="1" x14ac:dyDescent="0.15">
      <c r="B52" s="34">
        <v>37</v>
      </c>
      <c r="C52" s="35" t="str">
        <f>IF(原価試算!C52="","",原価試算!C52)</f>
        <v/>
      </c>
      <c r="D52" s="36" t="str">
        <f>IF(原価試算!D52="","",原価試算!D52)</f>
        <v/>
      </c>
      <c r="E52" s="472" t="str">
        <f>IF(原価試算!E52="","",原価試算!E52)</f>
        <v/>
      </c>
      <c r="F52" s="473"/>
      <c r="G52" s="344" t="str">
        <f>IF(原価試算!H52="","",原価試算!H52/原価試算!H$149*$G$5)</f>
        <v/>
      </c>
      <c r="H52" s="345" t="str">
        <f>IF(原価試算!K52="","",原価試算!K52/原価試算!K$149*$G$5)</f>
        <v/>
      </c>
      <c r="I52" s="347" t="str">
        <f>IF(原価試算!N52="","",原価試算!N52/原価試算!N$149*$G$5)</f>
        <v/>
      </c>
    </row>
    <row r="53" spans="2:9" ht="17.25" customHeight="1" x14ac:dyDescent="0.15">
      <c r="B53" s="34">
        <v>38</v>
      </c>
      <c r="C53" s="35" t="str">
        <f>IF(原価試算!C53="","",原価試算!C53)</f>
        <v/>
      </c>
      <c r="D53" s="36" t="str">
        <f>IF(原価試算!D53="","",原価試算!D53)</f>
        <v/>
      </c>
      <c r="E53" s="472" t="str">
        <f>IF(原価試算!E53="","",原価試算!E53)</f>
        <v/>
      </c>
      <c r="F53" s="473"/>
      <c r="G53" s="344" t="str">
        <f>IF(原価試算!H53="","",原価試算!H53/原価試算!H$149*$G$5)</f>
        <v/>
      </c>
      <c r="H53" s="345" t="str">
        <f>IF(原価試算!K53="","",原価試算!K53/原価試算!K$149*$G$5)</f>
        <v/>
      </c>
      <c r="I53" s="347" t="str">
        <f>IF(原価試算!N53="","",原価試算!N53/原価試算!N$149*$G$5)</f>
        <v/>
      </c>
    </row>
    <row r="54" spans="2:9" ht="17.25" customHeight="1" x14ac:dyDescent="0.15">
      <c r="B54" s="34">
        <v>39</v>
      </c>
      <c r="C54" s="35" t="str">
        <f>IF(原価試算!C54="","",原価試算!C54)</f>
        <v/>
      </c>
      <c r="D54" s="36" t="str">
        <f>IF(原価試算!D54="","",原価試算!D54)</f>
        <v/>
      </c>
      <c r="E54" s="472" t="str">
        <f>IF(原価試算!E54="","",原価試算!E54)</f>
        <v/>
      </c>
      <c r="F54" s="473"/>
      <c r="G54" s="344" t="str">
        <f>IF(原価試算!H54="","",原価試算!H54/原価試算!H$149*$G$5)</f>
        <v/>
      </c>
      <c r="H54" s="345" t="str">
        <f>IF(原価試算!K54="","",原価試算!K54/原価試算!K$149*$G$5)</f>
        <v/>
      </c>
      <c r="I54" s="347" t="str">
        <f>IF(原価試算!N54="","",原価試算!N54/原価試算!N$149*$G$5)</f>
        <v/>
      </c>
    </row>
    <row r="55" spans="2:9" ht="17.25" customHeight="1" x14ac:dyDescent="0.15">
      <c r="B55" s="34">
        <v>40</v>
      </c>
      <c r="C55" s="35" t="str">
        <f>IF(原価試算!C55="","",原価試算!C55)</f>
        <v/>
      </c>
      <c r="D55" s="36" t="str">
        <f>IF(原価試算!D55="","",原価試算!D55)</f>
        <v/>
      </c>
      <c r="E55" s="472" t="str">
        <f>IF(原価試算!E55="","",原価試算!E55)</f>
        <v/>
      </c>
      <c r="F55" s="473"/>
      <c r="G55" s="344" t="str">
        <f>IF(原価試算!H55="","",原価試算!H55/原価試算!H$149*$G$5)</f>
        <v/>
      </c>
      <c r="H55" s="345" t="str">
        <f>IF(原価試算!K55="","",原価試算!K55/原価試算!K$149*$G$5)</f>
        <v/>
      </c>
      <c r="I55" s="347" t="str">
        <f>IF(原価試算!N55="","",原価試算!N55/原価試算!N$149*$G$5)</f>
        <v/>
      </c>
    </row>
    <row r="56" spans="2:9" ht="17.25" customHeight="1" x14ac:dyDescent="0.15">
      <c r="B56" s="34">
        <v>41</v>
      </c>
      <c r="C56" s="35" t="str">
        <f>IF(原価試算!C56="","",原価試算!C56)</f>
        <v/>
      </c>
      <c r="D56" s="36" t="str">
        <f>IF(原価試算!D56="","",原価試算!D56)</f>
        <v/>
      </c>
      <c r="E56" s="472" t="str">
        <f>IF(原価試算!E56="","",原価試算!E56)</f>
        <v/>
      </c>
      <c r="F56" s="473"/>
      <c r="G56" s="344" t="str">
        <f>IF(原価試算!H56="","",原価試算!H56/原価試算!H$149*$G$5)</f>
        <v/>
      </c>
      <c r="H56" s="345" t="str">
        <f>IF(原価試算!K56="","",原価試算!K56/原価試算!K$149*$G$5)</f>
        <v/>
      </c>
      <c r="I56" s="347" t="str">
        <f>IF(原価試算!N56="","",原価試算!N56/原価試算!N$149*$G$5)</f>
        <v/>
      </c>
    </row>
    <row r="57" spans="2:9" ht="17.25" customHeight="1" x14ac:dyDescent="0.15">
      <c r="B57" s="34">
        <v>42</v>
      </c>
      <c r="C57" s="35" t="str">
        <f>IF(原価試算!C57="","",原価試算!C57)</f>
        <v/>
      </c>
      <c r="D57" s="36" t="str">
        <f>IF(原価試算!D57="","",原価試算!D57)</f>
        <v/>
      </c>
      <c r="E57" s="472" t="str">
        <f>IF(原価試算!E57="","",原価試算!E57)</f>
        <v/>
      </c>
      <c r="F57" s="473"/>
      <c r="G57" s="344" t="str">
        <f>IF(原価試算!H57="","",原価試算!H57/原価試算!H$149*$G$5)</f>
        <v/>
      </c>
      <c r="H57" s="345" t="str">
        <f>IF(原価試算!K57="","",原価試算!K57/原価試算!K$149*$G$5)</f>
        <v/>
      </c>
      <c r="I57" s="347" t="str">
        <f>IF(原価試算!N57="","",原価試算!N57/原価試算!N$149*$G$5)</f>
        <v/>
      </c>
    </row>
    <row r="58" spans="2:9" ht="17.25" customHeight="1" x14ac:dyDescent="0.15">
      <c r="B58" s="34">
        <v>43</v>
      </c>
      <c r="C58" s="35" t="str">
        <f>IF(原価試算!C58="","",原価試算!C58)</f>
        <v/>
      </c>
      <c r="D58" s="36" t="str">
        <f>IF(原価試算!D58="","",原価試算!D58)</f>
        <v/>
      </c>
      <c r="E58" s="472" t="str">
        <f>IF(原価試算!E58="","",原価試算!E58)</f>
        <v/>
      </c>
      <c r="F58" s="473"/>
      <c r="G58" s="344" t="str">
        <f>IF(原価試算!H58="","",原価試算!H58/原価試算!H$149*$G$5)</f>
        <v/>
      </c>
      <c r="H58" s="345" t="str">
        <f>IF(原価試算!K58="","",原価試算!K58/原価試算!K$149*$G$5)</f>
        <v/>
      </c>
      <c r="I58" s="347" t="str">
        <f>IF(原価試算!N58="","",原価試算!N58/原価試算!N$149*$G$5)</f>
        <v/>
      </c>
    </row>
    <row r="59" spans="2:9" ht="17.25" customHeight="1" x14ac:dyDescent="0.15">
      <c r="B59" s="34">
        <v>44</v>
      </c>
      <c r="C59" s="35" t="str">
        <f>IF(原価試算!C59="","",原価試算!C59)</f>
        <v/>
      </c>
      <c r="D59" s="36" t="str">
        <f>IF(原価試算!D59="","",原価試算!D59)</f>
        <v/>
      </c>
      <c r="E59" s="472" t="str">
        <f>IF(原価試算!E59="","",原価試算!E59)</f>
        <v/>
      </c>
      <c r="F59" s="473"/>
      <c r="G59" s="344" t="str">
        <f>IF(原価試算!H59="","",原価試算!H59/原価試算!H$149*$G$5)</f>
        <v/>
      </c>
      <c r="H59" s="345" t="str">
        <f>IF(原価試算!K59="","",原価試算!K59/原価試算!K$149*$G$5)</f>
        <v/>
      </c>
      <c r="I59" s="347" t="str">
        <f>IF(原価試算!N59="","",原価試算!N59/原価試算!N$149*$G$5)</f>
        <v/>
      </c>
    </row>
    <row r="60" spans="2:9" ht="17.25" customHeight="1" x14ac:dyDescent="0.15">
      <c r="B60" s="34">
        <v>45</v>
      </c>
      <c r="C60" s="35" t="str">
        <f>IF(原価試算!C60="","",原価試算!C60)</f>
        <v/>
      </c>
      <c r="D60" s="36" t="str">
        <f>IF(原価試算!D60="","",原価試算!D60)</f>
        <v/>
      </c>
      <c r="E60" s="472" t="str">
        <f>IF(原価試算!E60="","",原価試算!E60)</f>
        <v/>
      </c>
      <c r="F60" s="473"/>
      <c r="G60" s="344" t="str">
        <f>IF(原価試算!H60="","",原価試算!H60/原価試算!H$149*$G$5)</f>
        <v/>
      </c>
      <c r="H60" s="345" t="str">
        <f>IF(原価試算!K60="","",原価試算!K60/原価試算!K$149*$G$5)</f>
        <v/>
      </c>
      <c r="I60" s="347" t="str">
        <f>IF(原価試算!N60="","",原価試算!N60/原価試算!N$149*$G$5)</f>
        <v/>
      </c>
    </row>
    <row r="61" spans="2:9" ht="17.25" customHeight="1" x14ac:dyDescent="0.15">
      <c r="B61" s="34">
        <v>46</v>
      </c>
      <c r="C61" s="35" t="str">
        <f>IF(原価試算!C61="","",原価試算!C61)</f>
        <v/>
      </c>
      <c r="D61" s="36" t="str">
        <f>IF(原価試算!D61="","",原価試算!D61)</f>
        <v/>
      </c>
      <c r="E61" s="472" t="str">
        <f>IF(原価試算!E61="","",原価試算!E61)</f>
        <v/>
      </c>
      <c r="F61" s="473"/>
      <c r="G61" s="344" t="str">
        <f>IF(原価試算!H61="","",原価試算!H61/原価試算!H$149*$G$5)</f>
        <v/>
      </c>
      <c r="H61" s="345" t="str">
        <f>IF(原価試算!K61="","",原価試算!K61/原価試算!K$149*$G$5)</f>
        <v/>
      </c>
      <c r="I61" s="347" t="str">
        <f>IF(原価試算!N61="","",原価試算!N61/原価試算!N$149*$G$5)</f>
        <v/>
      </c>
    </row>
    <row r="62" spans="2:9" ht="17.25" customHeight="1" x14ac:dyDescent="0.15">
      <c r="B62" s="34">
        <v>47</v>
      </c>
      <c r="C62" s="35" t="str">
        <f>IF(原価試算!C62="","",原価試算!C62)</f>
        <v/>
      </c>
      <c r="D62" s="36" t="str">
        <f>IF(原価試算!D62="","",原価試算!D62)</f>
        <v/>
      </c>
      <c r="E62" s="472" t="str">
        <f>IF(原価試算!E62="","",原価試算!E62)</f>
        <v/>
      </c>
      <c r="F62" s="473"/>
      <c r="G62" s="344" t="str">
        <f>IF(原価試算!H62="","",原価試算!H62/原価試算!H$149*$G$5)</f>
        <v/>
      </c>
      <c r="H62" s="345" t="str">
        <f>IF(原価試算!K62="","",原価試算!K62/原価試算!K$149*$G$5)</f>
        <v/>
      </c>
      <c r="I62" s="347" t="str">
        <f>IF(原価試算!N62="","",原価試算!N62/原価試算!N$149*$G$5)</f>
        <v/>
      </c>
    </row>
    <row r="63" spans="2:9" ht="17.25" customHeight="1" x14ac:dyDescent="0.15">
      <c r="B63" s="34">
        <v>48</v>
      </c>
      <c r="C63" s="35" t="str">
        <f>IF(原価試算!C63="","",原価試算!C63)</f>
        <v/>
      </c>
      <c r="D63" s="36" t="str">
        <f>IF(原価試算!D63="","",原価試算!D63)</f>
        <v/>
      </c>
      <c r="E63" s="472" t="str">
        <f>IF(原価試算!E63="","",原価試算!E63)</f>
        <v/>
      </c>
      <c r="F63" s="473"/>
      <c r="G63" s="344" t="str">
        <f>IF(原価試算!H63="","",原価試算!H63/原価試算!H$149*$G$5)</f>
        <v/>
      </c>
      <c r="H63" s="345" t="str">
        <f>IF(原価試算!K63="","",原価試算!K63/原価試算!K$149*$G$5)</f>
        <v/>
      </c>
      <c r="I63" s="347" t="str">
        <f>IF(原価試算!N63="","",原価試算!N63/原価試算!N$149*$G$5)</f>
        <v/>
      </c>
    </row>
    <row r="64" spans="2:9" ht="17.25" customHeight="1" x14ac:dyDescent="0.15">
      <c r="B64" s="34">
        <v>49</v>
      </c>
      <c r="C64" s="35" t="str">
        <f>IF(原価試算!C64="","",原価試算!C64)</f>
        <v/>
      </c>
      <c r="D64" s="36" t="str">
        <f>IF(原価試算!D64="","",原価試算!D64)</f>
        <v/>
      </c>
      <c r="E64" s="472" t="str">
        <f>IF(原価試算!E64="","",原価試算!E64)</f>
        <v/>
      </c>
      <c r="F64" s="473"/>
      <c r="G64" s="344" t="str">
        <f>IF(原価試算!H64="","",原価試算!H64/原価試算!H$149*$G$5)</f>
        <v/>
      </c>
      <c r="H64" s="345" t="str">
        <f>IF(原価試算!K64="","",原価試算!K64/原価試算!K$149*$G$5)</f>
        <v/>
      </c>
      <c r="I64" s="347" t="str">
        <f>IF(原価試算!N64="","",原価試算!N64/原価試算!N$149*$G$5)</f>
        <v/>
      </c>
    </row>
    <row r="65" spans="2:9" ht="17.25" customHeight="1" x14ac:dyDescent="0.15">
      <c r="B65" s="34">
        <v>50</v>
      </c>
      <c r="C65" s="35" t="str">
        <f>IF(原価試算!C65="","",原価試算!C65)</f>
        <v/>
      </c>
      <c r="D65" s="36" t="str">
        <f>IF(原価試算!D65="","",原価試算!D65)</f>
        <v/>
      </c>
      <c r="E65" s="472" t="str">
        <f>IF(原価試算!E65="","",原価試算!E65)</f>
        <v/>
      </c>
      <c r="F65" s="473"/>
      <c r="G65" s="344" t="str">
        <f>IF(原価試算!H65="","",原価試算!H65/原価試算!H$149*$G$5)</f>
        <v/>
      </c>
      <c r="H65" s="345" t="str">
        <f>IF(原価試算!K65="","",原価試算!K65/原価試算!K$149*$G$5)</f>
        <v/>
      </c>
      <c r="I65" s="347" t="str">
        <f>IF(原価試算!N65="","",原価試算!N65/原価試算!N$149*$G$5)</f>
        <v/>
      </c>
    </row>
    <row r="66" spans="2:9" ht="17.25" customHeight="1" x14ac:dyDescent="0.15">
      <c r="B66" s="34">
        <v>51</v>
      </c>
      <c r="C66" s="35" t="str">
        <f>IF(原価試算!C66="","",原価試算!C66)</f>
        <v/>
      </c>
      <c r="D66" s="36" t="str">
        <f>IF(原価試算!D66="","",原価試算!D66)</f>
        <v/>
      </c>
      <c r="E66" s="472" t="str">
        <f>IF(原価試算!E66="","",原価試算!E66)</f>
        <v/>
      </c>
      <c r="F66" s="473"/>
      <c r="G66" s="344" t="str">
        <f>IF(原価試算!H66="","",原価試算!H66/原価試算!H$149*$G$5)</f>
        <v/>
      </c>
      <c r="H66" s="345" t="str">
        <f>IF(原価試算!K66="","",原価試算!K66/原価試算!K$149*$G$5)</f>
        <v/>
      </c>
      <c r="I66" s="347" t="str">
        <f>IF(原価試算!N66="","",原価試算!N66/原価試算!N$149*$G$5)</f>
        <v/>
      </c>
    </row>
    <row r="67" spans="2:9" ht="17.25" customHeight="1" x14ac:dyDescent="0.15">
      <c r="B67" s="34">
        <v>52</v>
      </c>
      <c r="C67" s="35" t="str">
        <f>IF(原価試算!C67="","",原価試算!C67)</f>
        <v/>
      </c>
      <c r="D67" s="36" t="str">
        <f>IF(原価試算!D67="","",原価試算!D67)</f>
        <v/>
      </c>
      <c r="E67" s="472" t="str">
        <f>IF(原価試算!E67="","",原価試算!E67)</f>
        <v/>
      </c>
      <c r="F67" s="473"/>
      <c r="G67" s="344" t="str">
        <f>IF(原価試算!H67="","",原価試算!H67/原価試算!H$149*$G$5)</f>
        <v/>
      </c>
      <c r="H67" s="345" t="str">
        <f>IF(原価試算!K67="","",原価試算!K67/原価試算!K$149*$G$5)</f>
        <v/>
      </c>
      <c r="I67" s="347" t="str">
        <f>IF(原価試算!N67="","",原価試算!N67/原価試算!N$149*$G$5)</f>
        <v/>
      </c>
    </row>
    <row r="68" spans="2:9" ht="17.25" customHeight="1" x14ac:dyDescent="0.15">
      <c r="B68" s="34">
        <v>53</v>
      </c>
      <c r="C68" s="35" t="str">
        <f>IF(原価試算!C68="","",原価試算!C68)</f>
        <v/>
      </c>
      <c r="D68" s="36" t="str">
        <f>IF(原価試算!D68="","",原価試算!D68)</f>
        <v/>
      </c>
      <c r="E68" s="472" t="str">
        <f>IF(原価試算!E68="","",原価試算!E68)</f>
        <v/>
      </c>
      <c r="F68" s="473"/>
      <c r="G68" s="344" t="str">
        <f>IF(原価試算!H68="","",原価試算!H68/原価試算!H$149*$G$5)</f>
        <v/>
      </c>
      <c r="H68" s="345" t="str">
        <f>IF(原価試算!K68="","",原価試算!K68/原価試算!K$149*$G$5)</f>
        <v/>
      </c>
      <c r="I68" s="347" t="str">
        <f>IF(原価試算!N68="","",原価試算!N68/原価試算!N$149*$G$5)</f>
        <v/>
      </c>
    </row>
    <row r="69" spans="2:9" ht="17.25" customHeight="1" x14ac:dyDescent="0.15">
      <c r="B69" s="34">
        <v>54</v>
      </c>
      <c r="C69" s="35" t="str">
        <f>IF(原価試算!C69="","",原価試算!C69)</f>
        <v/>
      </c>
      <c r="D69" s="36" t="str">
        <f>IF(原価試算!D69="","",原価試算!D69)</f>
        <v/>
      </c>
      <c r="E69" s="472" t="str">
        <f>IF(原価試算!E69="","",原価試算!E69)</f>
        <v/>
      </c>
      <c r="F69" s="473"/>
      <c r="G69" s="344" t="str">
        <f>IF(原価試算!H69="","",原価試算!H69/原価試算!H$149*$G$5)</f>
        <v/>
      </c>
      <c r="H69" s="345" t="str">
        <f>IF(原価試算!K69="","",原価試算!K69/原価試算!K$149*$G$5)</f>
        <v/>
      </c>
      <c r="I69" s="347" t="str">
        <f>IF(原価試算!N69="","",原価試算!N69/原価試算!N$149*$G$5)</f>
        <v/>
      </c>
    </row>
    <row r="70" spans="2:9" ht="17.25" customHeight="1" x14ac:dyDescent="0.15">
      <c r="B70" s="34">
        <v>55</v>
      </c>
      <c r="C70" s="35" t="str">
        <f>IF(原価試算!C70="","",原価試算!C70)</f>
        <v/>
      </c>
      <c r="D70" s="36" t="str">
        <f>IF(原価試算!D70="","",原価試算!D70)</f>
        <v/>
      </c>
      <c r="E70" s="472" t="str">
        <f>IF(原価試算!E70="","",原価試算!E70)</f>
        <v/>
      </c>
      <c r="F70" s="473"/>
      <c r="G70" s="344" t="str">
        <f>IF(原価試算!H70="","",原価試算!H70/原価試算!H$149*$G$5)</f>
        <v/>
      </c>
      <c r="H70" s="345" t="str">
        <f>IF(原価試算!K70="","",原価試算!K70/原価試算!K$149*$G$5)</f>
        <v/>
      </c>
      <c r="I70" s="347" t="str">
        <f>IF(原価試算!N70="","",原価試算!N70/原価試算!N$149*$G$5)</f>
        <v/>
      </c>
    </row>
    <row r="71" spans="2:9" ht="17.25" customHeight="1" x14ac:dyDescent="0.15">
      <c r="B71" s="34">
        <v>56</v>
      </c>
      <c r="C71" s="35" t="str">
        <f>IF(原価試算!C71="","",原価試算!C71)</f>
        <v/>
      </c>
      <c r="D71" s="36" t="str">
        <f>IF(原価試算!D71="","",原価試算!D71)</f>
        <v/>
      </c>
      <c r="E71" s="472" t="str">
        <f>IF(原価試算!E71="","",原価試算!E71)</f>
        <v/>
      </c>
      <c r="F71" s="473"/>
      <c r="G71" s="344" t="str">
        <f>IF(原価試算!H71="","",原価試算!H71/原価試算!H$149*$G$5)</f>
        <v/>
      </c>
      <c r="H71" s="345" t="str">
        <f>IF(原価試算!K71="","",原価試算!K71/原価試算!K$149*$G$5)</f>
        <v/>
      </c>
      <c r="I71" s="347" t="str">
        <f>IF(原価試算!N71="","",原価試算!N71/原価試算!N$149*$G$5)</f>
        <v/>
      </c>
    </row>
    <row r="72" spans="2:9" ht="17.25" customHeight="1" x14ac:dyDescent="0.15">
      <c r="B72" s="34">
        <v>57</v>
      </c>
      <c r="C72" s="35" t="str">
        <f>IF(原価試算!C72="","",原価試算!C72)</f>
        <v/>
      </c>
      <c r="D72" s="36" t="str">
        <f>IF(原価試算!D72="","",原価試算!D72)</f>
        <v/>
      </c>
      <c r="E72" s="472" t="str">
        <f>IF(原価試算!E72="","",原価試算!E72)</f>
        <v/>
      </c>
      <c r="F72" s="473"/>
      <c r="G72" s="344" t="str">
        <f>IF(原価試算!H72="","",原価試算!H72/原価試算!H$149*$G$5)</f>
        <v/>
      </c>
      <c r="H72" s="345" t="str">
        <f>IF(原価試算!K72="","",原価試算!K72/原価試算!K$149*$G$5)</f>
        <v/>
      </c>
      <c r="I72" s="347" t="str">
        <f>IF(原価試算!N72="","",原価試算!N72/原価試算!N$149*$G$5)</f>
        <v/>
      </c>
    </row>
    <row r="73" spans="2:9" ht="17.25" customHeight="1" x14ac:dyDescent="0.15">
      <c r="B73" s="34">
        <v>58</v>
      </c>
      <c r="C73" s="35" t="str">
        <f>IF(原価試算!C73="","",原価試算!C73)</f>
        <v/>
      </c>
      <c r="D73" s="36" t="str">
        <f>IF(原価試算!D73="","",原価試算!D73)</f>
        <v/>
      </c>
      <c r="E73" s="472" t="str">
        <f>IF(原価試算!E73="","",原価試算!E73)</f>
        <v/>
      </c>
      <c r="F73" s="473"/>
      <c r="G73" s="344" t="str">
        <f>IF(原価試算!H73="","",原価試算!H73/原価試算!H$149*$G$5)</f>
        <v/>
      </c>
      <c r="H73" s="345" t="str">
        <f>IF(原価試算!K73="","",原価試算!K73/原価試算!K$149*$G$5)</f>
        <v/>
      </c>
      <c r="I73" s="347" t="str">
        <f>IF(原価試算!N73="","",原価試算!N73/原価試算!N$149*$G$5)</f>
        <v/>
      </c>
    </row>
    <row r="74" spans="2:9" ht="17.25" customHeight="1" x14ac:dyDescent="0.15">
      <c r="B74" s="34">
        <v>59</v>
      </c>
      <c r="C74" s="35" t="str">
        <f>IF(原価試算!C74="","",原価試算!C74)</f>
        <v/>
      </c>
      <c r="D74" s="36" t="str">
        <f>IF(原価試算!D74="","",原価試算!D74)</f>
        <v/>
      </c>
      <c r="E74" s="472" t="str">
        <f>IF(原価試算!E74="","",原価試算!E74)</f>
        <v/>
      </c>
      <c r="F74" s="473"/>
      <c r="G74" s="344" t="str">
        <f>IF(原価試算!H74="","",原価試算!H74/原価試算!H$149*$G$5)</f>
        <v/>
      </c>
      <c r="H74" s="345" t="str">
        <f>IF(原価試算!K74="","",原価試算!K74/原価試算!K$149*$G$5)</f>
        <v/>
      </c>
      <c r="I74" s="347" t="str">
        <f>IF(原価試算!N74="","",原価試算!N74/原価試算!N$149*$G$5)</f>
        <v/>
      </c>
    </row>
    <row r="75" spans="2:9" ht="17.25" customHeight="1" x14ac:dyDescent="0.15">
      <c r="B75" s="34">
        <v>60</v>
      </c>
      <c r="C75" s="35" t="str">
        <f>IF(原価試算!C75="","",原価試算!C75)</f>
        <v/>
      </c>
      <c r="D75" s="36" t="str">
        <f>IF(原価試算!D75="","",原価試算!D75)</f>
        <v/>
      </c>
      <c r="E75" s="472" t="str">
        <f>IF(原価試算!E75="","",原価試算!E75)</f>
        <v/>
      </c>
      <c r="F75" s="473"/>
      <c r="G75" s="344" t="str">
        <f>IF(原価試算!H75="","",原価試算!H75/原価試算!H$149*$G$5)</f>
        <v/>
      </c>
      <c r="H75" s="345" t="str">
        <f>IF(原価試算!K75="","",原価試算!K75/原価試算!K$149*$G$5)</f>
        <v/>
      </c>
      <c r="I75" s="347" t="str">
        <f>IF(原価試算!N75="","",原価試算!N75/原価試算!N$149*$G$5)</f>
        <v/>
      </c>
    </row>
    <row r="76" spans="2:9" ht="17.25" customHeight="1" x14ac:dyDescent="0.15">
      <c r="B76" s="34">
        <v>61</v>
      </c>
      <c r="C76" s="35" t="str">
        <f>IF(原価試算!C76="","",原価試算!C76)</f>
        <v/>
      </c>
      <c r="D76" s="36" t="str">
        <f>IF(原価試算!D76="","",原価試算!D76)</f>
        <v/>
      </c>
      <c r="E76" s="472" t="str">
        <f>IF(原価試算!E76="","",原価試算!E76)</f>
        <v/>
      </c>
      <c r="F76" s="473"/>
      <c r="G76" s="344" t="str">
        <f>IF(原価試算!H76="","",原価試算!H76/原価試算!H$149*$G$5)</f>
        <v/>
      </c>
      <c r="H76" s="345" t="str">
        <f>IF(原価試算!K76="","",原価試算!K76/原価試算!K$149*$G$5)</f>
        <v/>
      </c>
      <c r="I76" s="347" t="str">
        <f>IF(原価試算!N76="","",原価試算!N76/原価試算!N$149*$G$5)</f>
        <v/>
      </c>
    </row>
    <row r="77" spans="2:9" ht="17.25" customHeight="1" x14ac:dyDescent="0.15">
      <c r="B77" s="34">
        <v>62</v>
      </c>
      <c r="C77" s="35" t="str">
        <f>IF(原価試算!C77="","",原価試算!C77)</f>
        <v/>
      </c>
      <c r="D77" s="36" t="str">
        <f>IF(原価試算!D77="","",原価試算!D77)</f>
        <v/>
      </c>
      <c r="E77" s="472" t="str">
        <f>IF(原価試算!E77="","",原価試算!E77)</f>
        <v/>
      </c>
      <c r="F77" s="473"/>
      <c r="G77" s="344" t="str">
        <f>IF(原価試算!H77="","",原価試算!H77/原価試算!H$149*$G$5)</f>
        <v/>
      </c>
      <c r="H77" s="345" t="str">
        <f>IF(原価試算!K77="","",原価試算!K77/原価試算!K$149*$G$5)</f>
        <v/>
      </c>
      <c r="I77" s="347" t="str">
        <f>IF(原価試算!N77="","",原価試算!N77/原価試算!N$149*$G$5)</f>
        <v/>
      </c>
    </row>
    <row r="78" spans="2:9" ht="17.25" customHeight="1" x14ac:dyDescent="0.15">
      <c r="B78" s="34">
        <v>63</v>
      </c>
      <c r="C78" s="35" t="str">
        <f>IF(原価試算!C78="","",原価試算!C78)</f>
        <v/>
      </c>
      <c r="D78" s="36" t="str">
        <f>IF(原価試算!D78="","",原価試算!D78)</f>
        <v/>
      </c>
      <c r="E78" s="472" t="str">
        <f>IF(原価試算!E78="","",原価試算!E78)</f>
        <v/>
      </c>
      <c r="F78" s="473"/>
      <c r="G78" s="344" t="str">
        <f>IF(原価試算!H78="","",原価試算!H78/原価試算!H$149*$G$5)</f>
        <v/>
      </c>
      <c r="H78" s="345" t="str">
        <f>IF(原価試算!K78="","",原価試算!K78/原価試算!K$149*$G$5)</f>
        <v/>
      </c>
      <c r="I78" s="347" t="str">
        <f>IF(原価試算!N78="","",原価試算!N78/原価試算!N$149*$G$5)</f>
        <v/>
      </c>
    </row>
    <row r="79" spans="2:9" ht="17.25" customHeight="1" x14ac:dyDescent="0.15">
      <c r="B79" s="34">
        <v>64</v>
      </c>
      <c r="C79" s="35" t="str">
        <f>IF(原価試算!C79="","",原価試算!C79)</f>
        <v/>
      </c>
      <c r="D79" s="36" t="str">
        <f>IF(原価試算!D79="","",原価試算!D79)</f>
        <v/>
      </c>
      <c r="E79" s="472" t="str">
        <f>IF(原価試算!E79="","",原価試算!E79)</f>
        <v/>
      </c>
      <c r="F79" s="473"/>
      <c r="G79" s="344" t="str">
        <f>IF(原価試算!H79="","",原価試算!H79/原価試算!H$149*$G$5)</f>
        <v/>
      </c>
      <c r="H79" s="345" t="str">
        <f>IF(原価試算!K79="","",原価試算!K79/原価試算!K$149*$G$5)</f>
        <v/>
      </c>
      <c r="I79" s="347" t="str">
        <f>IF(原価試算!N79="","",原価試算!N79/原価試算!N$149*$G$5)</f>
        <v/>
      </c>
    </row>
    <row r="80" spans="2:9" ht="17.25" customHeight="1" x14ac:dyDescent="0.15">
      <c r="B80" s="34">
        <v>65</v>
      </c>
      <c r="C80" s="35" t="str">
        <f>IF(原価試算!C80="","",原価試算!C80)</f>
        <v/>
      </c>
      <c r="D80" s="36" t="str">
        <f>IF(原価試算!D80="","",原価試算!D80)</f>
        <v/>
      </c>
      <c r="E80" s="472" t="str">
        <f>IF(原価試算!E80="","",原価試算!E80)</f>
        <v/>
      </c>
      <c r="F80" s="473"/>
      <c r="G80" s="344" t="str">
        <f>IF(原価試算!H80="","",原価試算!H80/原価試算!H$149*$G$5)</f>
        <v/>
      </c>
      <c r="H80" s="345" t="str">
        <f>IF(原価試算!K80="","",原価試算!K80/原価試算!K$149*$G$5)</f>
        <v/>
      </c>
      <c r="I80" s="347" t="str">
        <f>IF(原価試算!N80="","",原価試算!N80/原価試算!N$149*$G$5)</f>
        <v/>
      </c>
    </row>
    <row r="81" spans="2:9" ht="17.25" customHeight="1" x14ac:dyDescent="0.15">
      <c r="B81" s="34">
        <v>66</v>
      </c>
      <c r="C81" s="35" t="str">
        <f>IF(原価試算!C81="","",原価試算!C81)</f>
        <v/>
      </c>
      <c r="D81" s="36" t="str">
        <f>IF(原価試算!D81="","",原価試算!D81)</f>
        <v/>
      </c>
      <c r="E81" s="472" t="str">
        <f>IF(原価試算!E81="","",原価試算!E81)</f>
        <v/>
      </c>
      <c r="F81" s="473"/>
      <c r="G81" s="344" t="str">
        <f>IF(原価試算!H81="","",原価試算!H81/原価試算!H$149*$G$5)</f>
        <v/>
      </c>
      <c r="H81" s="345" t="str">
        <f>IF(原価試算!K81="","",原価試算!K81/原価試算!K$149*$G$5)</f>
        <v/>
      </c>
      <c r="I81" s="347" t="str">
        <f>IF(原価試算!N81="","",原価試算!N81/原価試算!N$149*$G$5)</f>
        <v/>
      </c>
    </row>
    <row r="82" spans="2:9" ht="17.25" customHeight="1" x14ac:dyDescent="0.15">
      <c r="B82" s="34">
        <v>67</v>
      </c>
      <c r="C82" s="35" t="str">
        <f>IF(原価試算!C82="","",原価試算!C82)</f>
        <v/>
      </c>
      <c r="D82" s="36" t="str">
        <f>IF(原価試算!D82="","",原価試算!D82)</f>
        <v/>
      </c>
      <c r="E82" s="472" t="str">
        <f>IF(原価試算!E82="","",原価試算!E82)</f>
        <v/>
      </c>
      <c r="F82" s="473"/>
      <c r="G82" s="344" t="str">
        <f>IF(原価試算!H82="","",原価試算!H82/原価試算!H$149*$G$5)</f>
        <v/>
      </c>
      <c r="H82" s="345" t="str">
        <f>IF(原価試算!K82="","",原価試算!K82/原価試算!K$149*$G$5)</f>
        <v/>
      </c>
      <c r="I82" s="347" t="str">
        <f>IF(原価試算!N82="","",原価試算!N82/原価試算!N$149*$G$5)</f>
        <v/>
      </c>
    </row>
    <row r="83" spans="2:9" ht="17.25" customHeight="1" x14ac:dyDescent="0.15">
      <c r="B83" s="34">
        <v>68</v>
      </c>
      <c r="C83" s="35" t="str">
        <f>IF(原価試算!C83="","",原価試算!C83)</f>
        <v/>
      </c>
      <c r="D83" s="36" t="str">
        <f>IF(原価試算!D83="","",原価試算!D83)</f>
        <v/>
      </c>
      <c r="E83" s="472" t="str">
        <f>IF(原価試算!E83="","",原価試算!E83)</f>
        <v/>
      </c>
      <c r="F83" s="473"/>
      <c r="G83" s="344" t="str">
        <f>IF(原価試算!H83="","",原価試算!H83/原価試算!H$149*$G$5)</f>
        <v/>
      </c>
      <c r="H83" s="345" t="str">
        <f>IF(原価試算!K83="","",原価試算!K83/原価試算!K$149*$G$5)</f>
        <v/>
      </c>
      <c r="I83" s="347" t="str">
        <f>IF(原価試算!N83="","",原価試算!N83/原価試算!N$149*$G$5)</f>
        <v/>
      </c>
    </row>
    <row r="84" spans="2:9" ht="17.25" customHeight="1" x14ac:dyDescent="0.15">
      <c r="B84" s="34">
        <v>69</v>
      </c>
      <c r="C84" s="35" t="str">
        <f>IF(原価試算!C84="","",原価試算!C84)</f>
        <v/>
      </c>
      <c r="D84" s="36" t="str">
        <f>IF(原価試算!D84="","",原価試算!D84)</f>
        <v/>
      </c>
      <c r="E84" s="472" t="str">
        <f>IF(原価試算!E84="","",原価試算!E84)</f>
        <v/>
      </c>
      <c r="F84" s="473"/>
      <c r="G84" s="344" t="str">
        <f>IF(原価試算!H84="","",原価試算!H84/原価試算!H$149*$G$5)</f>
        <v/>
      </c>
      <c r="H84" s="345" t="str">
        <f>IF(原価試算!K84="","",原価試算!K84/原価試算!K$149*$G$5)</f>
        <v/>
      </c>
      <c r="I84" s="347" t="str">
        <f>IF(原価試算!N84="","",原価試算!N84/原価試算!N$149*$G$5)</f>
        <v/>
      </c>
    </row>
    <row r="85" spans="2:9" ht="17.25" customHeight="1" x14ac:dyDescent="0.15">
      <c r="B85" s="34">
        <v>70</v>
      </c>
      <c r="C85" s="35" t="str">
        <f>IF(原価試算!C85="","",原価試算!C85)</f>
        <v/>
      </c>
      <c r="D85" s="36" t="str">
        <f>IF(原価試算!D85="","",原価試算!D85)</f>
        <v/>
      </c>
      <c r="E85" s="472" t="str">
        <f>IF(原価試算!E85="","",原価試算!E85)</f>
        <v/>
      </c>
      <c r="F85" s="473"/>
      <c r="G85" s="344" t="str">
        <f>IF(原価試算!H85="","",原価試算!H85/原価試算!H$149*$G$5)</f>
        <v/>
      </c>
      <c r="H85" s="345" t="str">
        <f>IF(原価試算!K85="","",原価試算!K85/原価試算!K$149*$G$5)</f>
        <v/>
      </c>
      <c r="I85" s="347" t="str">
        <f>IF(原価試算!N85="","",原価試算!N85/原価試算!N$149*$G$5)</f>
        <v/>
      </c>
    </row>
    <row r="86" spans="2:9" ht="17.25" customHeight="1" x14ac:dyDescent="0.15">
      <c r="B86" s="34">
        <v>71</v>
      </c>
      <c r="C86" s="35" t="str">
        <f>IF(原価試算!C86="","",原価試算!C86)</f>
        <v/>
      </c>
      <c r="D86" s="36" t="str">
        <f>IF(原価試算!D86="","",原価試算!D86)</f>
        <v/>
      </c>
      <c r="E86" s="472" t="str">
        <f>IF(原価試算!E86="","",原価試算!E86)</f>
        <v/>
      </c>
      <c r="F86" s="473"/>
      <c r="G86" s="344" t="str">
        <f>IF(原価試算!H86="","",原価試算!H86/原価試算!H$149*$G$5)</f>
        <v/>
      </c>
      <c r="H86" s="345" t="str">
        <f>IF(原価試算!K86="","",原価試算!K86/原価試算!K$149*$G$5)</f>
        <v/>
      </c>
      <c r="I86" s="347" t="str">
        <f>IF(原価試算!N86="","",原価試算!N86/原価試算!N$149*$G$5)</f>
        <v/>
      </c>
    </row>
    <row r="87" spans="2:9" ht="17.25" customHeight="1" x14ac:dyDescent="0.15">
      <c r="B87" s="34">
        <v>72</v>
      </c>
      <c r="C87" s="35" t="str">
        <f>IF(原価試算!C87="","",原価試算!C87)</f>
        <v/>
      </c>
      <c r="D87" s="36" t="str">
        <f>IF(原価試算!D87="","",原価試算!D87)</f>
        <v/>
      </c>
      <c r="E87" s="472" t="str">
        <f>IF(原価試算!E87="","",原価試算!E87)</f>
        <v/>
      </c>
      <c r="F87" s="473"/>
      <c r="G87" s="344" t="str">
        <f>IF(原価試算!H87="","",原価試算!H87/原価試算!H$149*$G$5)</f>
        <v/>
      </c>
      <c r="H87" s="345" t="str">
        <f>IF(原価試算!K87="","",原価試算!K87/原価試算!K$149*$G$5)</f>
        <v/>
      </c>
      <c r="I87" s="347" t="str">
        <f>IF(原価試算!N87="","",原価試算!N87/原価試算!N$149*$G$5)</f>
        <v/>
      </c>
    </row>
    <row r="88" spans="2:9" ht="17.25" customHeight="1" x14ac:dyDescent="0.15">
      <c r="B88" s="34">
        <v>73</v>
      </c>
      <c r="C88" s="35" t="str">
        <f>IF(原価試算!C88="","",原価試算!C88)</f>
        <v/>
      </c>
      <c r="D88" s="36" t="str">
        <f>IF(原価試算!D88="","",原価試算!D88)</f>
        <v/>
      </c>
      <c r="E88" s="472" t="str">
        <f>IF(原価試算!E88="","",原価試算!E88)</f>
        <v/>
      </c>
      <c r="F88" s="473"/>
      <c r="G88" s="344" t="str">
        <f>IF(原価試算!H88="","",原価試算!H88/原価試算!H$149*$G$5)</f>
        <v/>
      </c>
      <c r="H88" s="345" t="str">
        <f>IF(原価試算!K88="","",原価試算!K88/原価試算!K$149*$G$5)</f>
        <v/>
      </c>
      <c r="I88" s="347" t="str">
        <f>IF(原価試算!N88="","",原価試算!N88/原価試算!N$149*$G$5)</f>
        <v/>
      </c>
    </row>
    <row r="89" spans="2:9" ht="17.25" customHeight="1" x14ac:dyDescent="0.15">
      <c r="B89" s="34">
        <v>74</v>
      </c>
      <c r="C89" s="35" t="str">
        <f>IF(原価試算!C89="","",原価試算!C89)</f>
        <v/>
      </c>
      <c r="D89" s="36" t="str">
        <f>IF(原価試算!D89="","",原価試算!D89)</f>
        <v/>
      </c>
      <c r="E89" s="472" t="str">
        <f>IF(原価試算!E89="","",原価試算!E89)</f>
        <v/>
      </c>
      <c r="F89" s="473"/>
      <c r="G89" s="344" t="str">
        <f>IF(原価試算!H89="","",原価試算!H89/原価試算!H$149*$G$5)</f>
        <v/>
      </c>
      <c r="H89" s="345" t="str">
        <f>IF(原価試算!K89="","",原価試算!K89/原価試算!K$149*$G$5)</f>
        <v/>
      </c>
      <c r="I89" s="347" t="str">
        <f>IF(原価試算!N89="","",原価試算!N89/原価試算!N$149*$G$5)</f>
        <v/>
      </c>
    </row>
    <row r="90" spans="2:9" ht="17.25" customHeight="1" x14ac:dyDescent="0.15">
      <c r="B90" s="34">
        <v>75</v>
      </c>
      <c r="C90" s="35" t="str">
        <f>IF(原価試算!C90="","",原価試算!C90)</f>
        <v/>
      </c>
      <c r="D90" s="36" t="str">
        <f>IF(原価試算!D90="","",原価試算!D90)</f>
        <v/>
      </c>
      <c r="E90" s="472" t="str">
        <f>IF(原価試算!E90="","",原価試算!E90)</f>
        <v/>
      </c>
      <c r="F90" s="473"/>
      <c r="G90" s="344" t="str">
        <f>IF(原価試算!H90="","",原価試算!H90/原価試算!H$149*$G$5)</f>
        <v/>
      </c>
      <c r="H90" s="345" t="str">
        <f>IF(原価試算!K90="","",原価試算!K90/原価試算!K$149*$G$5)</f>
        <v/>
      </c>
      <c r="I90" s="347" t="str">
        <f>IF(原価試算!N90="","",原価試算!N90/原価試算!N$149*$G$5)</f>
        <v/>
      </c>
    </row>
    <row r="91" spans="2:9" ht="17.25" customHeight="1" x14ac:dyDescent="0.15">
      <c r="B91" s="34">
        <v>76</v>
      </c>
      <c r="C91" s="35" t="str">
        <f>IF(原価試算!C91="","",原価試算!C91)</f>
        <v/>
      </c>
      <c r="D91" s="36" t="str">
        <f>IF(原価試算!D91="","",原価試算!D91)</f>
        <v/>
      </c>
      <c r="E91" s="472" t="str">
        <f>IF(原価試算!E91="","",原価試算!E91)</f>
        <v/>
      </c>
      <c r="F91" s="473"/>
      <c r="G91" s="344" t="str">
        <f>IF(原価試算!H91="","",原価試算!H91/原価試算!H$149*$G$5)</f>
        <v/>
      </c>
      <c r="H91" s="345" t="str">
        <f>IF(原価試算!K91="","",原価試算!K91/原価試算!K$149*$G$5)</f>
        <v/>
      </c>
      <c r="I91" s="347" t="str">
        <f>IF(原価試算!N91="","",原価試算!N91/原価試算!N$149*$G$5)</f>
        <v/>
      </c>
    </row>
    <row r="92" spans="2:9" ht="17.25" customHeight="1" x14ac:dyDescent="0.15">
      <c r="B92" s="34">
        <v>77</v>
      </c>
      <c r="C92" s="35" t="str">
        <f>IF(原価試算!C92="","",原価試算!C92)</f>
        <v/>
      </c>
      <c r="D92" s="36" t="str">
        <f>IF(原価試算!D92="","",原価試算!D92)</f>
        <v/>
      </c>
      <c r="E92" s="472" t="str">
        <f>IF(原価試算!E92="","",原価試算!E92)</f>
        <v/>
      </c>
      <c r="F92" s="473"/>
      <c r="G92" s="344" t="str">
        <f>IF(原価試算!H92="","",原価試算!H92/原価試算!H$149*$G$5)</f>
        <v/>
      </c>
      <c r="H92" s="345" t="str">
        <f>IF(原価試算!K92="","",原価試算!K92/原価試算!K$149*$G$5)</f>
        <v/>
      </c>
      <c r="I92" s="347" t="str">
        <f>IF(原価試算!N92="","",原価試算!N92/原価試算!N$149*$G$5)</f>
        <v/>
      </c>
    </row>
    <row r="93" spans="2:9" ht="17.25" customHeight="1" x14ac:dyDescent="0.15">
      <c r="B93" s="34">
        <v>78</v>
      </c>
      <c r="C93" s="35" t="str">
        <f>IF(原価試算!C93="","",原価試算!C93)</f>
        <v/>
      </c>
      <c r="D93" s="36" t="str">
        <f>IF(原価試算!D93="","",原価試算!D93)</f>
        <v/>
      </c>
      <c r="E93" s="472" t="str">
        <f>IF(原価試算!E93="","",原価試算!E93)</f>
        <v/>
      </c>
      <c r="F93" s="473"/>
      <c r="G93" s="344" t="str">
        <f>IF(原価試算!H93="","",原価試算!H93/原価試算!H$149*$G$5)</f>
        <v/>
      </c>
      <c r="H93" s="345" t="str">
        <f>IF(原価試算!K93="","",原価試算!K93/原価試算!K$149*$G$5)</f>
        <v/>
      </c>
      <c r="I93" s="347" t="str">
        <f>IF(原価試算!N93="","",原価試算!N93/原価試算!N$149*$G$5)</f>
        <v/>
      </c>
    </row>
    <row r="94" spans="2:9" ht="17.25" customHeight="1" x14ac:dyDescent="0.15">
      <c r="B94" s="34">
        <v>79</v>
      </c>
      <c r="C94" s="35" t="str">
        <f>IF(原価試算!C94="","",原価試算!C94)</f>
        <v/>
      </c>
      <c r="D94" s="36" t="str">
        <f>IF(原価試算!D94="","",原価試算!D94)</f>
        <v/>
      </c>
      <c r="E94" s="472" t="str">
        <f>IF(原価試算!E94="","",原価試算!E94)</f>
        <v/>
      </c>
      <c r="F94" s="473"/>
      <c r="G94" s="344" t="str">
        <f>IF(原価試算!H94="","",原価試算!H94/原価試算!H$149*$G$5)</f>
        <v/>
      </c>
      <c r="H94" s="345" t="str">
        <f>IF(原価試算!K94="","",原価試算!K94/原価試算!K$149*$G$5)</f>
        <v/>
      </c>
      <c r="I94" s="347" t="str">
        <f>IF(原価試算!N94="","",原価試算!N94/原価試算!N$149*$G$5)</f>
        <v/>
      </c>
    </row>
    <row r="95" spans="2:9" ht="17.25" customHeight="1" x14ac:dyDescent="0.15">
      <c r="B95" s="34">
        <v>80</v>
      </c>
      <c r="C95" s="35" t="str">
        <f>IF(原価試算!C95="","",原価試算!C95)</f>
        <v/>
      </c>
      <c r="D95" s="36" t="str">
        <f>IF(原価試算!D95="","",原価試算!D95)</f>
        <v/>
      </c>
      <c r="E95" s="472" t="str">
        <f>IF(原価試算!E95="","",原価試算!E95)</f>
        <v/>
      </c>
      <c r="F95" s="473"/>
      <c r="G95" s="344" t="str">
        <f>IF(原価試算!H95="","",原価試算!H95/原価試算!H$149*$G$5)</f>
        <v/>
      </c>
      <c r="H95" s="345" t="str">
        <f>IF(原価試算!K95="","",原価試算!K95/原価試算!K$149*$G$5)</f>
        <v/>
      </c>
      <c r="I95" s="347" t="str">
        <f>IF(原価試算!N95="","",原価試算!N95/原価試算!N$149*$G$5)</f>
        <v/>
      </c>
    </row>
    <row r="96" spans="2:9" ht="17.25" customHeight="1" x14ac:dyDescent="0.15">
      <c r="B96" s="34">
        <v>81</v>
      </c>
      <c r="C96" s="35" t="str">
        <f>IF(原価試算!C96="","",原価試算!C96)</f>
        <v/>
      </c>
      <c r="D96" s="36" t="str">
        <f>IF(原価試算!D96="","",原価試算!D96)</f>
        <v/>
      </c>
      <c r="E96" s="472" t="str">
        <f>IF(原価試算!E96="","",原価試算!E96)</f>
        <v/>
      </c>
      <c r="F96" s="473"/>
      <c r="G96" s="344" t="str">
        <f>IF(原価試算!H96="","",原価試算!H96/原価試算!H$149*$G$5)</f>
        <v/>
      </c>
      <c r="H96" s="345" t="str">
        <f>IF(原価試算!K96="","",原価試算!K96/原価試算!K$149*$G$5)</f>
        <v/>
      </c>
      <c r="I96" s="347" t="str">
        <f>IF(原価試算!N96="","",原価試算!N96/原価試算!N$149*$G$5)</f>
        <v/>
      </c>
    </row>
    <row r="97" spans="2:9" ht="17.25" customHeight="1" x14ac:dyDescent="0.15">
      <c r="B97" s="34">
        <v>82</v>
      </c>
      <c r="C97" s="35" t="str">
        <f>IF(原価試算!C97="","",原価試算!C97)</f>
        <v/>
      </c>
      <c r="D97" s="36" t="str">
        <f>IF(原価試算!D97="","",原価試算!D97)</f>
        <v/>
      </c>
      <c r="E97" s="472" t="str">
        <f>IF(原価試算!E97="","",原価試算!E97)</f>
        <v/>
      </c>
      <c r="F97" s="473"/>
      <c r="G97" s="344" t="str">
        <f>IF(原価試算!H97="","",原価試算!H97/原価試算!H$149*$G$5)</f>
        <v/>
      </c>
      <c r="H97" s="345" t="str">
        <f>IF(原価試算!K97="","",原価試算!K97/原価試算!K$149*$G$5)</f>
        <v/>
      </c>
      <c r="I97" s="347" t="str">
        <f>IF(原価試算!N97="","",原価試算!N97/原価試算!N$149*$G$5)</f>
        <v/>
      </c>
    </row>
    <row r="98" spans="2:9" ht="17.25" customHeight="1" x14ac:dyDescent="0.15">
      <c r="B98" s="34">
        <v>83</v>
      </c>
      <c r="C98" s="35" t="str">
        <f>IF(原価試算!C98="","",原価試算!C98)</f>
        <v/>
      </c>
      <c r="D98" s="36" t="str">
        <f>IF(原価試算!D98="","",原価試算!D98)</f>
        <v/>
      </c>
      <c r="E98" s="472" t="str">
        <f>IF(原価試算!E98="","",原価試算!E98)</f>
        <v/>
      </c>
      <c r="F98" s="473"/>
      <c r="G98" s="344" t="str">
        <f>IF(原価試算!H98="","",原価試算!H98/原価試算!H$149*$G$5)</f>
        <v/>
      </c>
      <c r="H98" s="345" t="str">
        <f>IF(原価試算!K98="","",原価試算!K98/原価試算!K$149*$G$5)</f>
        <v/>
      </c>
      <c r="I98" s="347" t="str">
        <f>IF(原価試算!N98="","",原価試算!N98/原価試算!N$149*$G$5)</f>
        <v/>
      </c>
    </row>
    <row r="99" spans="2:9" ht="17.25" customHeight="1" x14ac:dyDescent="0.15">
      <c r="B99" s="34">
        <v>84</v>
      </c>
      <c r="C99" s="35" t="str">
        <f>IF(原価試算!C99="","",原価試算!C99)</f>
        <v/>
      </c>
      <c r="D99" s="36" t="str">
        <f>IF(原価試算!D99="","",原価試算!D99)</f>
        <v/>
      </c>
      <c r="E99" s="472" t="str">
        <f>IF(原価試算!E99="","",原価試算!E99)</f>
        <v/>
      </c>
      <c r="F99" s="473"/>
      <c r="G99" s="344" t="str">
        <f>IF(原価試算!H99="","",原価試算!H99/原価試算!H$149*$G$5)</f>
        <v/>
      </c>
      <c r="H99" s="345" t="str">
        <f>IF(原価試算!K99="","",原価試算!K99/原価試算!K$149*$G$5)</f>
        <v/>
      </c>
      <c r="I99" s="347" t="str">
        <f>IF(原価試算!N99="","",原価試算!N99/原価試算!N$149*$G$5)</f>
        <v/>
      </c>
    </row>
    <row r="100" spans="2:9" ht="17.25" customHeight="1" x14ac:dyDescent="0.15">
      <c r="B100" s="34">
        <v>85</v>
      </c>
      <c r="C100" s="35" t="str">
        <f>IF(原価試算!C100="","",原価試算!C100)</f>
        <v/>
      </c>
      <c r="D100" s="36" t="str">
        <f>IF(原価試算!D100="","",原価試算!D100)</f>
        <v/>
      </c>
      <c r="E100" s="472" t="str">
        <f>IF(原価試算!E100="","",原価試算!E100)</f>
        <v/>
      </c>
      <c r="F100" s="473"/>
      <c r="G100" s="344" t="str">
        <f>IF(原価試算!H100="","",原価試算!H100/原価試算!H$149*$G$5)</f>
        <v/>
      </c>
      <c r="H100" s="345" t="str">
        <f>IF(原価試算!K100="","",原価試算!K100/原価試算!K$149*$G$5)</f>
        <v/>
      </c>
      <c r="I100" s="347" t="str">
        <f>IF(原価試算!N100="","",原価試算!N100/原価試算!N$149*$G$5)</f>
        <v/>
      </c>
    </row>
    <row r="101" spans="2:9" ht="17.25" customHeight="1" x14ac:dyDescent="0.15">
      <c r="B101" s="34">
        <v>86</v>
      </c>
      <c r="C101" s="35" t="str">
        <f>IF(原価試算!C101="","",原価試算!C101)</f>
        <v/>
      </c>
      <c r="D101" s="36" t="str">
        <f>IF(原価試算!D101="","",原価試算!D101)</f>
        <v/>
      </c>
      <c r="E101" s="472" t="str">
        <f>IF(原価試算!E101="","",原価試算!E101)</f>
        <v/>
      </c>
      <c r="F101" s="473"/>
      <c r="G101" s="344" t="str">
        <f>IF(原価試算!H101="","",原価試算!H101/原価試算!H$149*$G$5)</f>
        <v/>
      </c>
      <c r="H101" s="345" t="str">
        <f>IF(原価試算!K101="","",原価試算!K101/原価試算!K$149*$G$5)</f>
        <v/>
      </c>
      <c r="I101" s="347" t="str">
        <f>IF(原価試算!N101="","",原価試算!N101/原価試算!N$149*$G$5)</f>
        <v/>
      </c>
    </row>
    <row r="102" spans="2:9" ht="17.25" customHeight="1" x14ac:dyDescent="0.15">
      <c r="B102" s="34">
        <v>87</v>
      </c>
      <c r="C102" s="35" t="str">
        <f>IF(原価試算!C102="","",原価試算!C102)</f>
        <v/>
      </c>
      <c r="D102" s="36" t="str">
        <f>IF(原価試算!D102="","",原価試算!D102)</f>
        <v/>
      </c>
      <c r="E102" s="472" t="str">
        <f>IF(原価試算!E102="","",原価試算!E102)</f>
        <v/>
      </c>
      <c r="F102" s="473"/>
      <c r="G102" s="344" t="str">
        <f>IF(原価試算!H102="","",原価試算!H102/原価試算!H$149*$G$5)</f>
        <v/>
      </c>
      <c r="H102" s="345" t="str">
        <f>IF(原価試算!K102="","",原価試算!K102/原価試算!K$149*$G$5)</f>
        <v/>
      </c>
      <c r="I102" s="347" t="str">
        <f>IF(原価試算!N102="","",原価試算!N102/原価試算!N$149*$G$5)</f>
        <v/>
      </c>
    </row>
    <row r="103" spans="2:9" ht="17.25" customHeight="1" x14ac:dyDescent="0.15">
      <c r="B103" s="34">
        <v>88</v>
      </c>
      <c r="C103" s="35" t="str">
        <f>IF(原価試算!C103="","",原価試算!C103)</f>
        <v/>
      </c>
      <c r="D103" s="36" t="str">
        <f>IF(原価試算!D103="","",原価試算!D103)</f>
        <v/>
      </c>
      <c r="E103" s="472" t="str">
        <f>IF(原価試算!E103="","",原価試算!E103)</f>
        <v/>
      </c>
      <c r="F103" s="473"/>
      <c r="G103" s="344" t="str">
        <f>IF(原価試算!H103="","",原価試算!H103/原価試算!H$149*$G$5)</f>
        <v/>
      </c>
      <c r="H103" s="345" t="str">
        <f>IF(原価試算!K103="","",原価試算!K103/原価試算!K$149*$G$5)</f>
        <v/>
      </c>
      <c r="I103" s="347" t="str">
        <f>IF(原価試算!N103="","",原価試算!N103/原価試算!N$149*$G$5)</f>
        <v/>
      </c>
    </row>
    <row r="104" spans="2:9" ht="17.25" customHeight="1" x14ac:dyDescent="0.15">
      <c r="B104" s="34">
        <v>89</v>
      </c>
      <c r="C104" s="35" t="str">
        <f>IF(原価試算!C104="","",原価試算!C104)</f>
        <v/>
      </c>
      <c r="D104" s="36" t="str">
        <f>IF(原価試算!D104="","",原価試算!D104)</f>
        <v/>
      </c>
      <c r="E104" s="472" t="str">
        <f>IF(原価試算!E104="","",原価試算!E104)</f>
        <v/>
      </c>
      <c r="F104" s="473"/>
      <c r="G104" s="344" t="str">
        <f>IF(原価試算!H104="","",原価試算!H104/原価試算!H$149*$G$5)</f>
        <v/>
      </c>
      <c r="H104" s="345" t="str">
        <f>IF(原価試算!K104="","",原価試算!K104/原価試算!K$149*$G$5)</f>
        <v/>
      </c>
      <c r="I104" s="347" t="str">
        <f>IF(原価試算!N104="","",原価試算!N104/原価試算!N$149*$G$5)</f>
        <v/>
      </c>
    </row>
    <row r="105" spans="2:9" ht="17.25" customHeight="1" x14ac:dyDescent="0.15">
      <c r="B105" s="34">
        <v>90</v>
      </c>
      <c r="C105" s="35" t="str">
        <f>IF(原価試算!C105="","",原価試算!C105)</f>
        <v/>
      </c>
      <c r="D105" s="36" t="str">
        <f>IF(原価試算!D105="","",原価試算!D105)</f>
        <v/>
      </c>
      <c r="E105" s="472" t="str">
        <f>IF(原価試算!E105="","",原価試算!E105)</f>
        <v/>
      </c>
      <c r="F105" s="473"/>
      <c r="G105" s="344" t="str">
        <f>IF(原価試算!H105="","",原価試算!H105/原価試算!H$149*$G$5)</f>
        <v/>
      </c>
      <c r="H105" s="345" t="str">
        <f>IF(原価試算!K105="","",原価試算!K105/原価試算!K$149*$G$5)</f>
        <v/>
      </c>
      <c r="I105" s="347" t="str">
        <f>IF(原価試算!N105="","",原価試算!N105/原価試算!N$149*$G$5)</f>
        <v/>
      </c>
    </row>
    <row r="106" spans="2:9" ht="17.25" customHeight="1" x14ac:dyDescent="0.15">
      <c r="B106" s="34">
        <v>91</v>
      </c>
      <c r="C106" s="35" t="str">
        <f>IF(原価試算!C106="","",原価試算!C106)</f>
        <v/>
      </c>
      <c r="D106" s="36" t="str">
        <f>IF(原価試算!D106="","",原価試算!D106)</f>
        <v/>
      </c>
      <c r="E106" s="472" t="str">
        <f>IF(原価試算!E106="","",原価試算!E106)</f>
        <v/>
      </c>
      <c r="F106" s="473"/>
      <c r="G106" s="344" t="str">
        <f>IF(原価試算!H106="","",原価試算!H106/原価試算!H$149*$G$5)</f>
        <v/>
      </c>
      <c r="H106" s="345" t="str">
        <f>IF(原価試算!K106="","",原価試算!K106/原価試算!K$149*$G$5)</f>
        <v/>
      </c>
      <c r="I106" s="347" t="str">
        <f>IF(原価試算!N106="","",原価試算!N106/原価試算!N$149*$G$5)</f>
        <v/>
      </c>
    </row>
    <row r="107" spans="2:9" ht="17.25" customHeight="1" x14ac:dyDescent="0.15">
      <c r="B107" s="34">
        <v>92</v>
      </c>
      <c r="C107" s="35" t="str">
        <f>IF(原価試算!C107="","",原価試算!C107)</f>
        <v/>
      </c>
      <c r="D107" s="36" t="str">
        <f>IF(原価試算!D107="","",原価試算!D107)</f>
        <v/>
      </c>
      <c r="E107" s="472" t="str">
        <f>IF(原価試算!E107="","",原価試算!E107)</f>
        <v/>
      </c>
      <c r="F107" s="473"/>
      <c r="G107" s="344" t="str">
        <f>IF(原価試算!H107="","",原価試算!H107/原価試算!H$149*$G$5)</f>
        <v/>
      </c>
      <c r="H107" s="345" t="str">
        <f>IF(原価試算!K107="","",原価試算!K107/原価試算!K$149*$G$5)</f>
        <v/>
      </c>
      <c r="I107" s="347" t="str">
        <f>IF(原価試算!N107="","",原価試算!N107/原価試算!N$149*$G$5)</f>
        <v/>
      </c>
    </row>
    <row r="108" spans="2:9" ht="17.25" customHeight="1" x14ac:dyDescent="0.15">
      <c r="B108" s="34">
        <v>93</v>
      </c>
      <c r="C108" s="35" t="str">
        <f>IF(原価試算!C108="","",原価試算!C108)</f>
        <v/>
      </c>
      <c r="D108" s="36" t="str">
        <f>IF(原価試算!D108="","",原価試算!D108)</f>
        <v/>
      </c>
      <c r="E108" s="472" t="str">
        <f>IF(原価試算!E108="","",原価試算!E108)</f>
        <v/>
      </c>
      <c r="F108" s="473"/>
      <c r="G108" s="344" t="str">
        <f>IF(原価試算!H108="","",原価試算!H108/原価試算!H$149*$G$5)</f>
        <v/>
      </c>
      <c r="H108" s="345" t="str">
        <f>IF(原価試算!K108="","",原価試算!K108/原価試算!K$149*$G$5)</f>
        <v/>
      </c>
      <c r="I108" s="347" t="str">
        <f>IF(原価試算!N108="","",原価試算!N108/原価試算!N$149*$G$5)</f>
        <v/>
      </c>
    </row>
    <row r="109" spans="2:9" ht="17.25" customHeight="1" x14ac:dyDescent="0.15">
      <c r="B109" s="34">
        <v>94</v>
      </c>
      <c r="C109" s="35" t="str">
        <f>IF(原価試算!C109="","",原価試算!C109)</f>
        <v/>
      </c>
      <c r="D109" s="36" t="str">
        <f>IF(原価試算!D109="","",原価試算!D109)</f>
        <v/>
      </c>
      <c r="E109" s="472" t="str">
        <f>IF(原価試算!E109="","",原価試算!E109)</f>
        <v/>
      </c>
      <c r="F109" s="473"/>
      <c r="G109" s="344" t="str">
        <f>IF(原価試算!H109="","",原価試算!H109/原価試算!H$149*$G$5)</f>
        <v/>
      </c>
      <c r="H109" s="345" t="str">
        <f>IF(原価試算!K109="","",原価試算!K109/原価試算!K$149*$G$5)</f>
        <v/>
      </c>
      <c r="I109" s="347" t="str">
        <f>IF(原価試算!N109="","",原価試算!N109/原価試算!N$149*$G$5)</f>
        <v/>
      </c>
    </row>
    <row r="110" spans="2:9" ht="17.25" customHeight="1" x14ac:dyDescent="0.15">
      <c r="B110" s="34">
        <v>95</v>
      </c>
      <c r="C110" s="35" t="str">
        <f>IF(原価試算!C110="","",原価試算!C110)</f>
        <v/>
      </c>
      <c r="D110" s="36" t="str">
        <f>IF(原価試算!D110="","",原価試算!D110)</f>
        <v/>
      </c>
      <c r="E110" s="472" t="str">
        <f>IF(原価試算!E110="","",原価試算!E110)</f>
        <v/>
      </c>
      <c r="F110" s="473"/>
      <c r="G110" s="344" t="str">
        <f>IF(原価試算!H110="","",原価試算!H110/原価試算!H$149*$G$5)</f>
        <v/>
      </c>
      <c r="H110" s="345" t="str">
        <f>IF(原価試算!K110="","",原価試算!K110/原価試算!K$149*$G$5)</f>
        <v/>
      </c>
      <c r="I110" s="347" t="str">
        <f>IF(原価試算!N110="","",原価試算!N110/原価試算!N$149*$G$5)</f>
        <v/>
      </c>
    </row>
    <row r="111" spans="2:9" ht="17.25" customHeight="1" x14ac:dyDescent="0.15">
      <c r="B111" s="34">
        <v>96</v>
      </c>
      <c r="C111" s="35" t="str">
        <f>IF(原価試算!C111="","",原価試算!C111)</f>
        <v/>
      </c>
      <c r="D111" s="36" t="str">
        <f>IF(原価試算!D111="","",原価試算!D111)</f>
        <v/>
      </c>
      <c r="E111" s="472" t="str">
        <f>IF(原価試算!E111="","",原価試算!E111)</f>
        <v/>
      </c>
      <c r="F111" s="473"/>
      <c r="G111" s="344" t="str">
        <f>IF(原価試算!H111="","",原価試算!H111/原価試算!H$149*$G$5)</f>
        <v/>
      </c>
      <c r="H111" s="345" t="str">
        <f>IF(原価試算!K111="","",原価試算!K111/原価試算!K$149*$G$5)</f>
        <v/>
      </c>
      <c r="I111" s="347" t="str">
        <f>IF(原価試算!N111="","",原価試算!N111/原価試算!N$149*$G$5)</f>
        <v/>
      </c>
    </row>
    <row r="112" spans="2:9" ht="17.25" customHeight="1" x14ac:dyDescent="0.15">
      <c r="B112" s="34">
        <v>97</v>
      </c>
      <c r="C112" s="35" t="str">
        <f>IF(原価試算!C112="","",原価試算!C112)</f>
        <v/>
      </c>
      <c r="D112" s="36" t="str">
        <f>IF(原価試算!D112="","",原価試算!D112)</f>
        <v/>
      </c>
      <c r="E112" s="472" t="str">
        <f>IF(原価試算!E112="","",原価試算!E112)</f>
        <v/>
      </c>
      <c r="F112" s="473"/>
      <c r="G112" s="344" t="str">
        <f>IF(原価試算!H112="","",原価試算!H112/原価試算!H$149*$G$5)</f>
        <v/>
      </c>
      <c r="H112" s="345" t="str">
        <f>IF(原価試算!K112="","",原価試算!K112/原価試算!K$149*$G$5)</f>
        <v/>
      </c>
      <c r="I112" s="347" t="str">
        <f>IF(原価試算!N112="","",原価試算!N112/原価試算!N$149*$G$5)</f>
        <v/>
      </c>
    </row>
    <row r="113" spans="2:9" ht="17.25" customHeight="1" x14ac:dyDescent="0.15">
      <c r="B113" s="34">
        <v>98</v>
      </c>
      <c r="C113" s="35" t="str">
        <f>IF(原価試算!C113="","",原価試算!C113)</f>
        <v/>
      </c>
      <c r="D113" s="36" t="str">
        <f>IF(原価試算!D113="","",原価試算!D113)</f>
        <v/>
      </c>
      <c r="E113" s="472" t="str">
        <f>IF(原価試算!E113="","",原価試算!E113)</f>
        <v/>
      </c>
      <c r="F113" s="473"/>
      <c r="G113" s="344" t="str">
        <f>IF(原価試算!H113="","",原価試算!H113/原価試算!H$149*$G$5)</f>
        <v/>
      </c>
      <c r="H113" s="345" t="str">
        <f>IF(原価試算!K113="","",原価試算!K113/原価試算!K$149*$G$5)</f>
        <v/>
      </c>
      <c r="I113" s="347" t="str">
        <f>IF(原価試算!N113="","",原価試算!N113/原価試算!N$149*$G$5)</f>
        <v/>
      </c>
    </row>
    <row r="114" spans="2:9" ht="17.25" customHeight="1" thickBot="1" x14ac:dyDescent="0.2">
      <c r="B114" s="37"/>
      <c r="C114" s="38"/>
      <c r="D114" s="38"/>
      <c r="E114" s="474" t="s">
        <v>70</v>
      </c>
      <c r="F114" s="474"/>
      <c r="G114" s="298"/>
      <c r="H114" s="298"/>
      <c r="I114" s="299"/>
    </row>
    <row r="115" spans="2:9" ht="17.25" customHeight="1" x14ac:dyDescent="0.15">
      <c r="B115" s="39"/>
      <c r="C115" s="40"/>
      <c r="D115" s="40" t="s">
        <v>69</v>
      </c>
      <c r="E115" s="475" t="s">
        <v>0</v>
      </c>
      <c r="F115" s="475"/>
      <c r="G115" s="300"/>
      <c r="H115" s="300"/>
      <c r="I115" s="301"/>
    </row>
    <row r="116" spans="2:9" ht="17.25" customHeight="1" x14ac:dyDescent="0.15">
      <c r="B116" s="34">
        <v>99</v>
      </c>
      <c r="C116" s="35" t="str">
        <f>IF(原価試算!C116="","",原価試算!C116)</f>
        <v/>
      </c>
      <c r="D116" s="36" t="str">
        <f>IF(原価試算!D116="","",原価試算!D116)</f>
        <v/>
      </c>
      <c r="E116" s="476" t="str">
        <f>IF(原価試算!E116="","",原価試算!E116)</f>
        <v/>
      </c>
      <c r="F116" s="477"/>
      <c r="G116" s="302" t="str">
        <f>IF(原価試算!H116="","",原価試算!H116/原価試算!H$149*$G$5)</f>
        <v/>
      </c>
      <c r="H116" s="303" t="str">
        <f>IF(原価試算!K116="","",原価試算!K116/原価試算!K$149*$G$5)</f>
        <v/>
      </c>
      <c r="I116" s="304" t="str">
        <f>IF(原価試算!N116="","",原価試算!N116/原価試算!N$149*$G$5)</f>
        <v/>
      </c>
    </row>
    <row r="117" spans="2:9" ht="17.25" customHeight="1" x14ac:dyDescent="0.15">
      <c r="B117" s="34">
        <v>100</v>
      </c>
      <c r="C117" s="35" t="str">
        <f>IF(原価試算!C117="","",原価試算!C117)</f>
        <v/>
      </c>
      <c r="D117" s="36" t="str">
        <f>IF(原価試算!D117="","",原価試算!D117)</f>
        <v/>
      </c>
      <c r="E117" s="476" t="str">
        <f>IF(原価試算!E117="","",原価試算!E117)</f>
        <v/>
      </c>
      <c r="F117" s="477"/>
      <c r="G117" s="302" t="str">
        <f>IF(原価試算!H117="","",原価試算!H117/原価試算!H$149*$G$5)</f>
        <v/>
      </c>
      <c r="H117" s="303" t="str">
        <f>IF(原価試算!K117="","",原価試算!K117/原価試算!K$149*$G$5)</f>
        <v/>
      </c>
      <c r="I117" s="304" t="str">
        <f>IF(原価試算!N117="","",原価試算!N117/原価試算!N$149*$G$5)</f>
        <v/>
      </c>
    </row>
    <row r="118" spans="2:9" ht="17.25" customHeight="1" x14ac:dyDescent="0.15">
      <c r="B118" s="34">
        <v>101</v>
      </c>
      <c r="C118" s="35" t="str">
        <f>IF(原価試算!C118="","",原価試算!C118)</f>
        <v/>
      </c>
      <c r="D118" s="36" t="str">
        <f>IF(原価試算!D118="","",原価試算!D118)</f>
        <v/>
      </c>
      <c r="E118" s="476" t="str">
        <f>IF(原価試算!E118="","",原価試算!E118)</f>
        <v/>
      </c>
      <c r="F118" s="477"/>
      <c r="G118" s="302" t="str">
        <f>IF(原価試算!H118="","",原価試算!H118/原価試算!H$149*$G$5)</f>
        <v/>
      </c>
      <c r="H118" s="303" t="str">
        <f>IF(原価試算!K118="","",原価試算!K118/原価試算!K$149*$G$5)</f>
        <v/>
      </c>
      <c r="I118" s="304" t="str">
        <f>IF(原価試算!N118="","",原価試算!N118/原価試算!N$149*$G$5)</f>
        <v/>
      </c>
    </row>
    <row r="119" spans="2:9" ht="17.25" customHeight="1" x14ac:dyDescent="0.15">
      <c r="B119" s="34">
        <v>102</v>
      </c>
      <c r="C119" s="35" t="str">
        <f>IF(原価試算!C119="","",原価試算!C119)</f>
        <v/>
      </c>
      <c r="D119" s="36" t="str">
        <f>IF(原価試算!D119="","",原価試算!D119)</f>
        <v/>
      </c>
      <c r="E119" s="476" t="str">
        <f>IF(原価試算!E119="","",原価試算!E119)</f>
        <v/>
      </c>
      <c r="F119" s="477"/>
      <c r="G119" s="302" t="str">
        <f>IF(原価試算!H119="","",原価試算!H119/原価試算!H$149*$G$5)</f>
        <v/>
      </c>
      <c r="H119" s="303" t="str">
        <f>IF(原価試算!K119="","",原価試算!K119/原価試算!K$149*$G$5)</f>
        <v/>
      </c>
      <c r="I119" s="304" t="str">
        <f>IF(原価試算!N119="","",原価試算!N119/原価試算!N$149*$G$5)</f>
        <v/>
      </c>
    </row>
    <row r="120" spans="2:9" ht="17.25" customHeight="1" x14ac:dyDescent="0.15">
      <c r="B120" s="34">
        <v>103</v>
      </c>
      <c r="C120" s="35" t="str">
        <f>IF(原価試算!C120="","",原価試算!C120)</f>
        <v/>
      </c>
      <c r="D120" s="36" t="str">
        <f>IF(原価試算!D120="","",原価試算!D120)</f>
        <v/>
      </c>
      <c r="E120" s="476" t="str">
        <f>IF(原価試算!E120="","",原価試算!E120)</f>
        <v/>
      </c>
      <c r="F120" s="477"/>
      <c r="G120" s="302" t="str">
        <f>IF(原価試算!H120="","",原価試算!H120/原価試算!H$149*$G$5)</f>
        <v/>
      </c>
      <c r="H120" s="303" t="str">
        <f>IF(原価試算!K120="","",原価試算!K120/原価試算!K$149*$G$5)</f>
        <v/>
      </c>
      <c r="I120" s="304" t="str">
        <f>IF(原価試算!N120="","",原価試算!N120/原価試算!N$149*$G$5)</f>
        <v/>
      </c>
    </row>
    <row r="121" spans="2:9" ht="17.25" customHeight="1" x14ac:dyDescent="0.15">
      <c r="B121" s="34">
        <v>104</v>
      </c>
      <c r="C121" s="35" t="str">
        <f>IF(原価試算!C121="","",原価試算!C121)</f>
        <v/>
      </c>
      <c r="D121" s="36" t="str">
        <f>IF(原価試算!D121="","",原価試算!D121)</f>
        <v/>
      </c>
      <c r="E121" s="476" t="str">
        <f>IF(原価試算!E121="","",原価試算!E121)</f>
        <v/>
      </c>
      <c r="F121" s="477"/>
      <c r="G121" s="302" t="str">
        <f>IF(原価試算!H121="","",原価試算!H121/原価試算!H$149*$G$5)</f>
        <v/>
      </c>
      <c r="H121" s="303" t="str">
        <f>IF(原価試算!K121="","",原価試算!K121/原価試算!K$149*$G$5)</f>
        <v/>
      </c>
      <c r="I121" s="304" t="str">
        <f>IF(原価試算!N121="","",原価試算!N121/原価試算!N$149*$G$5)</f>
        <v/>
      </c>
    </row>
    <row r="122" spans="2:9" ht="17.25" customHeight="1" x14ac:dyDescent="0.15">
      <c r="B122" s="34">
        <v>105</v>
      </c>
      <c r="C122" s="35" t="str">
        <f>IF(原価試算!C122="","",原価試算!C122)</f>
        <v/>
      </c>
      <c r="D122" s="36" t="str">
        <f>IF(原価試算!D122="","",原価試算!D122)</f>
        <v/>
      </c>
      <c r="E122" s="476" t="str">
        <f>IF(原価試算!E122="","",原価試算!E122)</f>
        <v/>
      </c>
      <c r="F122" s="477"/>
      <c r="G122" s="302" t="str">
        <f>IF(原価試算!H122="","",原価試算!H122/原価試算!H$149*$G$5)</f>
        <v/>
      </c>
      <c r="H122" s="303" t="str">
        <f>IF(原価試算!K122="","",原価試算!K122/原価試算!K$149*$G$5)</f>
        <v/>
      </c>
      <c r="I122" s="304" t="str">
        <f>IF(原価試算!N122="","",原価試算!N122/原価試算!N$149*$G$5)</f>
        <v/>
      </c>
    </row>
    <row r="123" spans="2:9" ht="17.25" customHeight="1" x14ac:dyDescent="0.15">
      <c r="B123" s="34">
        <v>106</v>
      </c>
      <c r="C123" s="35" t="str">
        <f>IF(原価試算!C123="","",原価試算!C123)</f>
        <v/>
      </c>
      <c r="D123" s="36" t="str">
        <f>IF(原価試算!D123="","",原価試算!D123)</f>
        <v/>
      </c>
      <c r="E123" s="476" t="str">
        <f>IF(原価試算!E123="","",原価試算!E123)</f>
        <v/>
      </c>
      <c r="F123" s="477"/>
      <c r="G123" s="302" t="str">
        <f>IF(原価試算!H123="","",原価試算!H123/原価試算!H$149*$G$5)</f>
        <v/>
      </c>
      <c r="H123" s="303" t="str">
        <f>IF(原価試算!K123="","",原価試算!K123/原価試算!K$149*$G$5)</f>
        <v/>
      </c>
      <c r="I123" s="304" t="str">
        <f>IF(原価試算!N123="","",原価試算!N123/原価試算!N$149*$G$5)</f>
        <v/>
      </c>
    </row>
    <row r="124" spans="2:9" ht="17.25" customHeight="1" x14ac:dyDescent="0.15">
      <c r="B124" s="34">
        <v>107</v>
      </c>
      <c r="C124" s="35" t="str">
        <f>IF(原価試算!C124="","",原価試算!C124)</f>
        <v/>
      </c>
      <c r="D124" s="36" t="str">
        <f>IF(原価試算!D124="","",原価試算!D124)</f>
        <v/>
      </c>
      <c r="E124" s="476" t="str">
        <f>IF(原価試算!E124="","",原価試算!E124)</f>
        <v/>
      </c>
      <c r="F124" s="477"/>
      <c r="G124" s="302" t="str">
        <f>IF(原価試算!H124="","",原価試算!H124/原価試算!H$149*$G$5)</f>
        <v/>
      </c>
      <c r="H124" s="303" t="str">
        <f>IF(原価試算!K124="","",原価試算!K124/原価試算!K$149*$G$5)</f>
        <v/>
      </c>
      <c r="I124" s="304" t="str">
        <f>IF(原価試算!N124="","",原価試算!N124/原価試算!N$149*$G$5)</f>
        <v/>
      </c>
    </row>
    <row r="125" spans="2:9" ht="17.25" customHeight="1" x14ac:dyDescent="0.15">
      <c r="B125" s="34">
        <v>108</v>
      </c>
      <c r="C125" s="35" t="str">
        <f>IF(原価試算!C125="","",原価試算!C125)</f>
        <v/>
      </c>
      <c r="D125" s="36" t="str">
        <f>IF(原価試算!D125="","",原価試算!D125)</f>
        <v/>
      </c>
      <c r="E125" s="476" t="str">
        <f>IF(原価試算!E125="","",原価試算!E125)</f>
        <v/>
      </c>
      <c r="F125" s="477"/>
      <c r="G125" s="302" t="str">
        <f>IF(原価試算!H125="","",原価試算!H125/原価試算!H$149*$G$5)</f>
        <v/>
      </c>
      <c r="H125" s="303" t="str">
        <f>IF(原価試算!K125="","",原価試算!K125/原価試算!K$149*$G$5)</f>
        <v/>
      </c>
      <c r="I125" s="304" t="str">
        <f>IF(原価試算!N125="","",原価試算!N125/原価試算!N$149*$G$5)</f>
        <v/>
      </c>
    </row>
    <row r="126" spans="2:9" ht="17.25" customHeight="1" x14ac:dyDescent="0.15">
      <c r="B126" s="34">
        <v>109</v>
      </c>
      <c r="C126" s="35" t="str">
        <f>IF(原価試算!C126="","",原価試算!C126)</f>
        <v/>
      </c>
      <c r="D126" s="36" t="str">
        <f>IF(原価試算!D126="","",原価試算!D126)</f>
        <v/>
      </c>
      <c r="E126" s="476" t="str">
        <f>IF(原価試算!E126="","",原価試算!E126)</f>
        <v/>
      </c>
      <c r="F126" s="477"/>
      <c r="G126" s="302" t="str">
        <f>IF(原価試算!H126="","",原価試算!H126/原価試算!H$149*$G$5)</f>
        <v/>
      </c>
      <c r="H126" s="303" t="str">
        <f>IF(原価試算!K126="","",原価試算!K126/原価試算!K$149*$G$5)</f>
        <v/>
      </c>
      <c r="I126" s="304" t="str">
        <f>IF(原価試算!N126="","",原価試算!N126/原価試算!N$149*$G$5)</f>
        <v/>
      </c>
    </row>
    <row r="127" spans="2:9" ht="17.25" customHeight="1" x14ac:dyDescent="0.15">
      <c r="B127" s="34">
        <v>110</v>
      </c>
      <c r="C127" s="35" t="str">
        <f>IF(原価試算!C127="","",原価試算!C127)</f>
        <v/>
      </c>
      <c r="D127" s="36" t="str">
        <f>IF(原価試算!D127="","",原価試算!D127)</f>
        <v/>
      </c>
      <c r="E127" s="476" t="str">
        <f>IF(原価試算!E127="","",原価試算!E127)</f>
        <v/>
      </c>
      <c r="F127" s="477"/>
      <c r="G127" s="302" t="str">
        <f>IF(原価試算!H127="","",原価試算!H127/原価試算!H$149*$G$5)</f>
        <v/>
      </c>
      <c r="H127" s="303" t="str">
        <f>IF(原価試算!K127="","",原価試算!K127/原価試算!K$149*$G$5)</f>
        <v/>
      </c>
      <c r="I127" s="304" t="str">
        <f>IF(原価試算!N127="","",原価試算!N127/原価試算!N$149*$G$5)</f>
        <v/>
      </c>
    </row>
    <row r="128" spans="2:9" ht="17.25" customHeight="1" x14ac:dyDescent="0.15">
      <c r="B128" s="34">
        <v>111</v>
      </c>
      <c r="C128" s="35" t="str">
        <f>IF(原価試算!C128="","",原価試算!C128)</f>
        <v/>
      </c>
      <c r="D128" s="36" t="str">
        <f>IF(原価試算!D128="","",原価試算!D128)</f>
        <v/>
      </c>
      <c r="E128" s="476" t="str">
        <f>IF(原価試算!E128="","",原価試算!E128)</f>
        <v/>
      </c>
      <c r="F128" s="477"/>
      <c r="G128" s="302" t="str">
        <f>IF(原価試算!H128="","",原価試算!H128/原価試算!H$149*$G$5)</f>
        <v/>
      </c>
      <c r="H128" s="303" t="str">
        <f>IF(原価試算!K128="","",原価試算!K128/原価試算!K$149*$G$5)</f>
        <v/>
      </c>
      <c r="I128" s="304" t="str">
        <f>IF(原価試算!N128="","",原価試算!N128/原価試算!N$149*$G$5)</f>
        <v/>
      </c>
    </row>
    <row r="129" spans="2:9" ht="17.25" customHeight="1" x14ac:dyDescent="0.15">
      <c r="B129" s="34">
        <v>112</v>
      </c>
      <c r="C129" s="35" t="str">
        <f>IF(原価試算!C129="","",原価試算!C129)</f>
        <v/>
      </c>
      <c r="D129" s="36" t="str">
        <f>IF(原価試算!D129="","",原価試算!D129)</f>
        <v/>
      </c>
      <c r="E129" s="476" t="str">
        <f>IF(原価試算!E129="","",原価試算!E129)</f>
        <v/>
      </c>
      <c r="F129" s="477"/>
      <c r="G129" s="302" t="str">
        <f>IF(原価試算!H129="","",原価試算!H129/原価試算!H$149*$G$5)</f>
        <v/>
      </c>
      <c r="H129" s="303" t="str">
        <f>IF(原価試算!K129="","",原価試算!K129/原価試算!K$149*$G$5)</f>
        <v/>
      </c>
      <c r="I129" s="304" t="str">
        <f>IF(原価試算!N129="","",原価試算!N129/原価試算!N$149*$G$5)</f>
        <v/>
      </c>
    </row>
    <row r="130" spans="2:9" ht="17.25" customHeight="1" x14ac:dyDescent="0.15">
      <c r="B130" s="34">
        <v>113</v>
      </c>
      <c r="C130" s="35" t="str">
        <f>IF(原価試算!C130="","",原価試算!C130)</f>
        <v/>
      </c>
      <c r="D130" s="36" t="str">
        <f>IF(原価試算!D130="","",原価試算!D130)</f>
        <v/>
      </c>
      <c r="E130" s="476" t="str">
        <f>IF(原価試算!E130="","",原価試算!E130)</f>
        <v/>
      </c>
      <c r="F130" s="477"/>
      <c r="G130" s="302" t="str">
        <f>IF(原価試算!H130="","",原価試算!H130/原価試算!H$149*$G$5)</f>
        <v/>
      </c>
      <c r="H130" s="303" t="str">
        <f>IF(原価試算!K130="","",原価試算!K130/原価試算!K$149*$G$5)</f>
        <v/>
      </c>
      <c r="I130" s="304" t="str">
        <f>IF(原価試算!N130="","",原価試算!N130/原価試算!N$149*$G$5)</f>
        <v/>
      </c>
    </row>
    <row r="131" spans="2:9" ht="17.25" customHeight="1" x14ac:dyDescent="0.15">
      <c r="B131" s="34">
        <v>114</v>
      </c>
      <c r="C131" s="35" t="str">
        <f>IF(原価試算!C131="","",原価試算!C131)</f>
        <v/>
      </c>
      <c r="D131" s="36" t="str">
        <f>IF(原価試算!D131="","",原価試算!D131)</f>
        <v/>
      </c>
      <c r="E131" s="476" t="str">
        <f>IF(原価試算!E131="","",原価試算!E131)</f>
        <v/>
      </c>
      <c r="F131" s="477"/>
      <c r="G131" s="302" t="str">
        <f>IF(原価試算!H131="","",原価試算!H131/原価試算!H$149*$G$5)</f>
        <v/>
      </c>
      <c r="H131" s="303" t="str">
        <f>IF(原価試算!K131="","",原価試算!K131/原価試算!K$149*$G$5)</f>
        <v/>
      </c>
      <c r="I131" s="304" t="str">
        <f>IF(原価試算!N131="","",原価試算!N131/原価試算!N$149*$G$5)</f>
        <v/>
      </c>
    </row>
    <row r="132" spans="2:9" ht="17.25" customHeight="1" x14ac:dyDescent="0.15">
      <c r="B132" s="34">
        <v>115</v>
      </c>
      <c r="C132" s="35" t="str">
        <f>IF(原価試算!C132="","",原価試算!C132)</f>
        <v/>
      </c>
      <c r="D132" s="36" t="str">
        <f>IF(原価試算!D132="","",原価試算!D132)</f>
        <v/>
      </c>
      <c r="E132" s="476" t="str">
        <f>IF(原価試算!E132="","",原価試算!E132)</f>
        <v/>
      </c>
      <c r="F132" s="477"/>
      <c r="G132" s="302" t="str">
        <f>IF(原価試算!H132="","",原価試算!H132/原価試算!H$149*$G$5)</f>
        <v/>
      </c>
      <c r="H132" s="303" t="str">
        <f>IF(原価試算!K132="","",原価試算!K132/原価試算!K$149*$G$5)</f>
        <v/>
      </c>
      <c r="I132" s="304" t="str">
        <f>IF(原価試算!N132="","",原価試算!N132/原価試算!N$149*$G$5)</f>
        <v/>
      </c>
    </row>
    <row r="133" spans="2:9" ht="17.25" customHeight="1" x14ac:dyDescent="0.15">
      <c r="B133" s="34">
        <v>116</v>
      </c>
      <c r="C133" s="35" t="str">
        <f>IF(原価試算!C133="","",原価試算!C133)</f>
        <v/>
      </c>
      <c r="D133" s="36" t="str">
        <f>IF(原価試算!D133="","",原価試算!D133)</f>
        <v/>
      </c>
      <c r="E133" s="476" t="str">
        <f>IF(原価試算!E133="","",原価試算!E133)</f>
        <v/>
      </c>
      <c r="F133" s="477"/>
      <c r="G133" s="302" t="str">
        <f>IF(原価試算!H133="","",原価試算!H133/原価試算!H$149*$G$5)</f>
        <v/>
      </c>
      <c r="H133" s="303" t="str">
        <f>IF(原価試算!K133="","",原価試算!K133/原価試算!K$149*$G$5)</f>
        <v/>
      </c>
      <c r="I133" s="304" t="str">
        <f>IF(原価試算!N133="","",原価試算!N133/原価試算!N$149*$G$5)</f>
        <v/>
      </c>
    </row>
    <row r="134" spans="2:9" ht="17.25" customHeight="1" x14ac:dyDescent="0.15">
      <c r="B134" s="34">
        <v>117</v>
      </c>
      <c r="C134" s="35" t="str">
        <f>IF(原価試算!C134="","",原価試算!C134)</f>
        <v/>
      </c>
      <c r="D134" s="36" t="str">
        <f>IF(原価試算!D134="","",原価試算!D134)</f>
        <v/>
      </c>
      <c r="E134" s="476" t="str">
        <f>IF(原価試算!E134="","",原価試算!E134)</f>
        <v/>
      </c>
      <c r="F134" s="477"/>
      <c r="G134" s="302" t="str">
        <f>IF(原価試算!H134="","",原価試算!H134/原価試算!H$149*$G$5)</f>
        <v/>
      </c>
      <c r="H134" s="303" t="str">
        <f>IF(原価試算!K134="","",原価試算!K134/原価試算!K$149*$G$5)</f>
        <v/>
      </c>
      <c r="I134" s="304" t="str">
        <f>IF(原価試算!N134="","",原価試算!N134/原価試算!N$149*$G$5)</f>
        <v/>
      </c>
    </row>
    <row r="135" spans="2:9" ht="17.25" customHeight="1" x14ac:dyDescent="0.15">
      <c r="B135" s="34">
        <v>118</v>
      </c>
      <c r="C135" s="35" t="str">
        <f>IF(原価試算!C135="","",原価試算!C135)</f>
        <v/>
      </c>
      <c r="D135" s="36" t="str">
        <f>IF(原価試算!D135="","",原価試算!D135)</f>
        <v/>
      </c>
      <c r="E135" s="476" t="str">
        <f>IF(原価試算!E135="","",原価試算!E135)</f>
        <v/>
      </c>
      <c r="F135" s="477"/>
      <c r="G135" s="302" t="str">
        <f>IF(原価試算!H135="","",原価試算!H135/原価試算!H$149*$G$5)</f>
        <v/>
      </c>
      <c r="H135" s="303" t="str">
        <f>IF(原価試算!K135="","",原価試算!K135/原価試算!K$149*$G$5)</f>
        <v/>
      </c>
      <c r="I135" s="304" t="str">
        <f>IF(原価試算!N135="","",原価試算!N135/原価試算!N$149*$G$5)</f>
        <v/>
      </c>
    </row>
    <row r="136" spans="2:9" ht="17.25" customHeight="1" x14ac:dyDescent="0.15">
      <c r="B136" s="34">
        <v>119</v>
      </c>
      <c r="C136" s="35" t="str">
        <f>IF(原価試算!C136="","",原価試算!C136)</f>
        <v/>
      </c>
      <c r="D136" s="36" t="str">
        <f>IF(原価試算!D136="","",原価試算!D136)</f>
        <v/>
      </c>
      <c r="E136" s="476" t="str">
        <f>IF(原価試算!E136="","",原価試算!E136)</f>
        <v/>
      </c>
      <c r="F136" s="477"/>
      <c r="G136" s="302" t="str">
        <f>IF(原価試算!H136="","",原価試算!H136/原価試算!H$149*$G$5)</f>
        <v/>
      </c>
      <c r="H136" s="303" t="str">
        <f>IF(原価試算!K136="","",原価試算!K136/原価試算!K$149*$G$5)</f>
        <v/>
      </c>
      <c r="I136" s="304" t="str">
        <f>IF(原価試算!N136="","",原価試算!N136/原価試算!N$149*$G$5)</f>
        <v/>
      </c>
    </row>
    <row r="137" spans="2:9" ht="17.25" customHeight="1" x14ac:dyDescent="0.15">
      <c r="B137" s="34">
        <v>120</v>
      </c>
      <c r="C137" s="35" t="str">
        <f>IF(原価試算!C137="","",原価試算!C137)</f>
        <v/>
      </c>
      <c r="D137" s="36" t="str">
        <f>IF(原価試算!D137="","",原価試算!D137)</f>
        <v/>
      </c>
      <c r="E137" s="476" t="str">
        <f>IF(原価試算!E137="","",原価試算!E137)</f>
        <v/>
      </c>
      <c r="F137" s="477"/>
      <c r="G137" s="302" t="str">
        <f>IF(原価試算!H137="","",原価試算!H137/原価試算!H$149*$G$5)</f>
        <v/>
      </c>
      <c r="H137" s="303" t="str">
        <f>IF(原価試算!K137="","",原価試算!K137/原価試算!K$149*$G$5)</f>
        <v/>
      </c>
      <c r="I137" s="304" t="str">
        <f>IF(原価試算!N137="","",原価試算!N137/原価試算!N$149*$G$5)</f>
        <v/>
      </c>
    </row>
    <row r="138" spans="2:9" ht="17.25" customHeight="1" x14ac:dyDescent="0.15">
      <c r="B138" s="34">
        <v>121</v>
      </c>
      <c r="C138" s="35" t="str">
        <f>IF(原価試算!C138="","",原価試算!C138)</f>
        <v/>
      </c>
      <c r="D138" s="36" t="str">
        <f>IF(原価試算!D138="","",原価試算!D138)</f>
        <v/>
      </c>
      <c r="E138" s="476" t="str">
        <f>IF(原価試算!E138="","",原価試算!E138)</f>
        <v/>
      </c>
      <c r="F138" s="477"/>
      <c r="G138" s="302" t="str">
        <f>IF(原価試算!H138="","",原価試算!H138/原価試算!H$149*$G$5)</f>
        <v/>
      </c>
      <c r="H138" s="303" t="str">
        <f>IF(原価試算!K138="","",原価試算!K138/原価試算!K$149*$G$5)</f>
        <v/>
      </c>
      <c r="I138" s="304" t="str">
        <f>IF(原価試算!N138="","",原価試算!N138/原価試算!N$149*$G$5)</f>
        <v/>
      </c>
    </row>
    <row r="139" spans="2:9" ht="17.25" customHeight="1" x14ac:dyDescent="0.15">
      <c r="B139" s="34">
        <v>122</v>
      </c>
      <c r="C139" s="35" t="str">
        <f>IF(原価試算!C139="","",原価試算!C139)</f>
        <v/>
      </c>
      <c r="D139" s="36" t="str">
        <f>IF(原価試算!D139="","",原価試算!D139)</f>
        <v/>
      </c>
      <c r="E139" s="476" t="str">
        <f>IF(原価試算!E139="","",原価試算!E139)</f>
        <v/>
      </c>
      <c r="F139" s="477"/>
      <c r="G139" s="302" t="str">
        <f>IF(原価試算!H139="","",原価試算!H139/原価試算!H$149*$G$5)</f>
        <v/>
      </c>
      <c r="H139" s="303" t="str">
        <f>IF(原価試算!K139="","",原価試算!K139/原価試算!K$149*$G$5)</f>
        <v/>
      </c>
      <c r="I139" s="304" t="str">
        <f>IF(原価試算!N139="","",原価試算!N139/原価試算!N$149*$G$5)</f>
        <v/>
      </c>
    </row>
    <row r="140" spans="2:9" ht="17.25" customHeight="1" x14ac:dyDescent="0.15">
      <c r="B140" s="34">
        <v>123</v>
      </c>
      <c r="C140" s="35" t="str">
        <f>IF(原価試算!C140="","",原価試算!C140)</f>
        <v/>
      </c>
      <c r="D140" s="36" t="str">
        <f>IF(原価試算!D140="","",原価試算!D140)</f>
        <v/>
      </c>
      <c r="E140" s="476" t="str">
        <f>IF(原価試算!E140="","",原価試算!E140)</f>
        <v/>
      </c>
      <c r="F140" s="477"/>
      <c r="G140" s="302" t="str">
        <f>IF(原価試算!H140="","",原価試算!H140/原価試算!H$149*$G$5)</f>
        <v/>
      </c>
      <c r="H140" s="303" t="str">
        <f>IF(原価試算!K140="","",原価試算!K140/原価試算!K$149*$G$5)</f>
        <v/>
      </c>
      <c r="I140" s="304" t="str">
        <f>IF(原価試算!N140="","",原価試算!N140/原価試算!N$149*$G$5)</f>
        <v/>
      </c>
    </row>
    <row r="141" spans="2:9" ht="17.25" customHeight="1" x14ac:dyDescent="0.15">
      <c r="B141" s="34">
        <v>124</v>
      </c>
      <c r="C141" s="35" t="str">
        <f>IF(原価試算!C141="","",原価試算!C141)</f>
        <v/>
      </c>
      <c r="D141" s="36" t="str">
        <f>IF(原価試算!D141="","",原価試算!D141)</f>
        <v/>
      </c>
      <c r="E141" s="476" t="str">
        <f>IF(原価試算!E141="","",原価試算!E141)</f>
        <v/>
      </c>
      <c r="F141" s="477"/>
      <c r="G141" s="302" t="str">
        <f>IF(原価試算!H141="","",原価試算!H141/原価試算!H$149*$G$5)</f>
        <v/>
      </c>
      <c r="H141" s="303" t="str">
        <f>IF(原価試算!K141="","",原価試算!K141/原価試算!K$149*$G$5)</f>
        <v/>
      </c>
      <c r="I141" s="304" t="str">
        <f>IF(原価試算!N141="","",原価試算!N141/原価試算!N$149*$G$5)</f>
        <v/>
      </c>
    </row>
    <row r="142" spans="2:9" ht="17.25" customHeight="1" x14ac:dyDescent="0.15">
      <c r="B142" s="34">
        <v>125</v>
      </c>
      <c r="C142" s="35" t="str">
        <f>IF(原価試算!C142="","",原価試算!C142)</f>
        <v/>
      </c>
      <c r="D142" s="36" t="str">
        <f>IF(原価試算!D142="","",原価試算!D142)</f>
        <v/>
      </c>
      <c r="E142" s="476" t="str">
        <f>IF(原価試算!E142="","",原価試算!E142)</f>
        <v/>
      </c>
      <c r="F142" s="477"/>
      <c r="G142" s="302" t="str">
        <f>IF(原価試算!H142="","",原価試算!H142/原価試算!H$149*$G$5)</f>
        <v/>
      </c>
      <c r="H142" s="303" t="str">
        <f>IF(原価試算!K142="","",原価試算!K142/原価試算!K$149*$G$5)</f>
        <v/>
      </c>
      <c r="I142" s="304" t="str">
        <f>IF(原価試算!N142="","",原価試算!N142/原価試算!N$149*$G$5)</f>
        <v/>
      </c>
    </row>
    <row r="143" spans="2:9" ht="17.25" customHeight="1" x14ac:dyDescent="0.15">
      <c r="B143" s="34">
        <v>126</v>
      </c>
      <c r="C143" s="35" t="str">
        <f>IF(原価試算!C143="","",原価試算!C143)</f>
        <v/>
      </c>
      <c r="D143" s="36" t="str">
        <f>IF(原価試算!D143="","",原価試算!D143)</f>
        <v/>
      </c>
      <c r="E143" s="476" t="str">
        <f>IF(原価試算!E143="","",原価試算!E143)</f>
        <v/>
      </c>
      <c r="F143" s="477"/>
      <c r="G143" s="302" t="str">
        <f>IF(原価試算!H143="","",原価試算!H143/原価試算!H$149*$G$5)</f>
        <v/>
      </c>
      <c r="H143" s="303" t="str">
        <f>IF(原価試算!K143="","",原価試算!K143/原価試算!K$149*$G$5)</f>
        <v/>
      </c>
      <c r="I143" s="304" t="str">
        <f>IF(原価試算!N143="","",原価試算!N143/原価試算!N$149*$G$5)</f>
        <v/>
      </c>
    </row>
    <row r="144" spans="2:9" ht="17.25" customHeight="1" x14ac:dyDescent="0.15">
      <c r="B144" s="34">
        <v>127</v>
      </c>
      <c r="C144" s="35" t="str">
        <f>IF(原価試算!C144="","",原価試算!C144)</f>
        <v/>
      </c>
      <c r="D144" s="36" t="str">
        <f>IF(原価試算!D144="","",原価試算!D144)</f>
        <v/>
      </c>
      <c r="E144" s="476" t="str">
        <f>IF(原価試算!E144="","",原価試算!E144)</f>
        <v/>
      </c>
      <c r="F144" s="477"/>
      <c r="G144" s="302" t="str">
        <f>IF(原価試算!H144="","",原価試算!H144/原価試算!H$149*$G$5)</f>
        <v/>
      </c>
      <c r="H144" s="303" t="str">
        <f>IF(原価試算!K144="","",原価試算!K144/原価試算!K$149*$G$5)</f>
        <v/>
      </c>
      <c r="I144" s="304" t="str">
        <f>IF(原価試算!N144="","",原価試算!N144/原価試算!N$149*$G$5)</f>
        <v/>
      </c>
    </row>
    <row r="145" spans="2:9" ht="14.25" customHeight="1" thickBot="1" x14ac:dyDescent="0.2">
      <c r="B145" s="41"/>
      <c r="C145" s="42"/>
      <c r="D145" s="42"/>
      <c r="E145" s="478" t="s">
        <v>71</v>
      </c>
      <c r="F145" s="478"/>
      <c r="G145" s="305"/>
      <c r="H145" s="305"/>
      <c r="I145" s="306"/>
    </row>
  </sheetData>
  <mergeCells count="133">
    <mergeCell ref="E139:F139"/>
    <mergeCell ref="E144:F144"/>
    <mergeCell ref="E145:F145"/>
    <mergeCell ref="E140:F140"/>
    <mergeCell ref="E141:F141"/>
    <mergeCell ref="E142:F142"/>
    <mergeCell ref="E143:F143"/>
    <mergeCell ref="E133:F133"/>
    <mergeCell ref="E134:F134"/>
    <mergeCell ref="E135:F135"/>
    <mergeCell ref="E136:F136"/>
    <mergeCell ref="E137:F137"/>
    <mergeCell ref="E138:F138"/>
    <mergeCell ref="E127:F127"/>
    <mergeCell ref="E128:F128"/>
    <mergeCell ref="E129:F129"/>
    <mergeCell ref="E130:F130"/>
    <mergeCell ref="E131:F131"/>
    <mergeCell ref="E132:F132"/>
    <mergeCell ref="E121:F121"/>
    <mergeCell ref="E122:F122"/>
    <mergeCell ref="E123:F123"/>
    <mergeCell ref="E124:F124"/>
    <mergeCell ref="E125:F125"/>
    <mergeCell ref="E126:F126"/>
    <mergeCell ref="E115:F115"/>
    <mergeCell ref="E116:F116"/>
    <mergeCell ref="E117:F117"/>
    <mergeCell ref="E118:F118"/>
    <mergeCell ref="E119:F119"/>
    <mergeCell ref="E120:F120"/>
    <mergeCell ref="E109:F109"/>
    <mergeCell ref="E110:F110"/>
    <mergeCell ref="E111:F111"/>
    <mergeCell ref="E112:F112"/>
    <mergeCell ref="E113:F113"/>
    <mergeCell ref="E114:F114"/>
    <mergeCell ref="E103:F103"/>
    <mergeCell ref="E104:F104"/>
    <mergeCell ref="E105:F105"/>
    <mergeCell ref="E106:F106"/>
    <mergeCell ref="E107:F107"/>
    <mergeCell ref="E108:F108"/>
    <mergeCell ref="E97:F97"/>
    <mergeCell ref="E98:F98"/>
    <mergeCell ref="E99:F99"/>
    <mergeCell ref="E100:F100"/>
    <mergeCell ref="E101:F101"/>
    <mergeCell ref="E102:F102"/>
    <mergeCell ref="E91:F91"/>
    <mergeCell ref="E92:F92"/>
    <mergeCell ref="E93:F93"/>
    <mergeCell ref="E94:F94"/>
    <mergeCell ref="E95:F95"/>
    <mergeCell ref="E96:F96"/>
    <mergeCell ref="E85:F85"/>
    <mergeCell ref="E86:F86"/>
    <mergeCell ref="E87:F87"/>
    <mergeCell ref="E88:F88"/>
    <mergeCell ref="E89:F89"/>
    <mergeCell ref="E90:F90"/>
    <mergeCell ref="E79:F79"/>
    <mergeCell ref="E80:F80"/>
    <mergeCell ref="E81:F81"/>
    <mergeCell ref="E82:F82"/>
    <mergeCell ref="E83:F83"/>
    <mergeCell ref="E84:F84"/>
    <mergeCell ref="E73:F73"/>
    <mergeCell ref="E74:F74"/>
    <mergeCell ref="E75:F75"/>
    <mergeCell ref="E76:F76"/>
    <mergeCell ref="E77:F77"/>
    <mergeCell ref="E78:F78"/>
    <mergeCell ref="E67:F67"/>
    <mergeCell ref="E68:F68"/>
    <mergeCell ref="E69:F69"/>
    <mergeCell ref="E70:F70"/>
    <mergeCell ref="E71:F71"/>
    <mergeCell ref="E72:F72"/>
    <mergeCell ref="E61:F61"/>
    <mergeCell ref="E62:F62"/>
    <mergeCell ref="E63:F63"/>
    <mergeCell ref="E64:F64"/>
    <mergeCell ref="E65:F65"/>
    <mergeCell ref="E66:F66"/>
    <mergeCell ref="E55:F55"/>
    <mergeCell ref="E56:F56"/>
    <mergeCell ref="E57:F57"/>
    <mergeCell ref="E58:F58"/>
    <mergeCell ref="E59:F59"/>
    <mergeCell ref="E60:F60"/>
    <mergeCell ref="E49:F49"/>
    <mergeCell ref="E50:F50"/>
    <mergeCell ref="E51:F51"/>
    <mergeCell ref="E52:F52"/>
    <mergeCell ref="E53:F53"/>
    <mergeCell ref="E54:F54"/>
    <mergeCell ref="E43:F43"/>
    <mergeCell ref="E44:F44"/>
    <mergeCell ref="E45:F45"/>
    <mergeCell ref="E46:F46"/>
    <mergeCell ref="E47:F47"/>
    <mergeCell ref="E48:F48"/>
    <mergeCell ref="E37:F37"/>
    <mergeCell ref="E38:F38"/>
    <mergeCell ref="E39:F39"/>
    <mergeCell ref="E40:F40"/>
    <mergeCell ref="E41:F41"/>
    <mergeCell ref="E42:F42"/>
    <mergeCell ref="E31:F31"/>
    <mergeCell ref="E32:F32"/>
    <mergeCell ref="E33:F33"/>
    <mergeCell ref="E34:F34"/>
    <mergeCell ref="E35:F35"/>
    <mergeCell ref="E36:F36"/>
    <mergeCell ref="E25:F25"/>
    <mergeCell ref="E26:F26"/>
    <mergeCell ref="E27:F27"/>
    <mergeCell ref="E28:F28"/>
    <mergeCell ref="E29:F29"/>
    <mergeCell ref="E30:F30"/>
    <mergeCell ref="E19:F19"/>
    <mergeCell ref="E20:F20"/>
    <mergeCell ref="E21:F21"/>
    <mergeCell ref="E22:F22"/>
    <mergeCell ref="E23:F23"/>
    <mergeCell ref="E24:F24"/>
    <mergeCell ref="E13:F13"/>
    <mergeCell ref="E14:F14"/>
    <mergeCell ref="E15:F15"/>
    <mergeCell ref="E16:F16"/>
    <mergeCell ref="E17:F17"/>
    <mergeCell ref="E18:F18"/>
  </mergeCells>
  <phoneticPr fontId="3"/>
  <pageMargins left="0.75" right="0.75" top="1" bottom="1" header="0.51200000000000001" footer="0.5120000000000000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M129"/>
  <sheetViews>
    <sheetView workbookViewId="0">
      <selection activeCell="B167" sqref="B167"/>
    </sheetView>
  </sheetViews>
  <sheetFormatPr defaultRowHeight="13.5" x14ac:dyDescent="0.15"/>
  <cols>
    <col min="1" max="1" width="9" style="9"/>
    <col min="2" max="2" width="11.25" style="9" customWidth="1"/>
    <col min="3" max="5" width="10.5" style="9" customWidth="1"/>
    <col min="6" max="16384" width="9" style="9"/>
  </cols>
  <sheetData>
    <row r="1" spans="1:10" s="45" customFormat="1" x14ac:dyDescent="0.15">
      <c r="A1" s="66">
        <v>1</v>
      </c>
    </row>
    <row r="2" spans="1:10" s="45" customFormat="1" x14ac:dyDescent="0.15"/>
    <row r="3" spans="1:10" s="45" customFormat="1" x14ac:dyDescent="0.15"/>
    <row r="4" spans="1:10" s="45" customFormat="1" x14ac:dyDescent="0.15"/>
    <row r="5" spans="1:10" s="45" customFormat="1" x14ac:dyDescent="0.15"/>
    <row r="6" spans="1:10" s="45" customFormat="1" x14ac:dyDescent="0.15"/>
    <row r="7" spans="1:10" s="45" customFormat="1" x14ac:dyDescent="0.15"/>
    <row r="9" spans="1:10" x14ac:dyDescent="0.15">
      <c r="B9" s="489" t="s">
        <v>315</v>
      </c>
      <c r="C9" s="489"/>
      <c r="D9" s="489"/>
      <c r="E9" s="489" t="s">
        <v>316</v>
      </c>
      <c r="F9" s="489"/>
      <c r="G9" s="489"/>
      <c r="H9" s="489" t="s">
        <v>317</v>
      </c>
      <c r="I9" s="489"/>
      <c r="J9" s="489"/>
    </row>
    <row r="10" spans="1:10" x14ac:dyDescent="0.15">
      <c r="B10" s="46" t="s">
        <v>318</v>
      </c>
      <c r="C10" s="46" t="s">
        <v>319</v>
      </c>
      <c r="D10" s="46" t="s">
        <v>320</v>
      </c>
      <c r="E10" s="46" t="s">
        <v>318</v>
      </c>
      <c r="F10" s="46" t="s">
        <v>319</v>
      </c>
      <c r="G10" s="46" t="s">
        <v>320</v>
      </c>
      <c r="H10" s="46" t="s">
        <v>318</v>
      </c>
      <c r="I10" s="46" t="s">
        <v>319</v>
      </c>
      <c r="J10" s="46" t="s">
        <v>320</v>
      </c>
    </row>
    <row r="11" spans="1:10" x14ac:dyDescent="0.15">
      <c r="B11" s="46"/>
      <c r="C11" s="46"/>
      <c r="D11" s="46"/>
      <c r="E11" s="46"/>
      <c r="F11" s="46"/>
      <c r="G11" s="46"/>
      <c r="H11" s="46"/>
      <c r="I11" s="46"/>
      <c r="J11" s="46"/>
    </row>
    <row r="13" spans="1:10" hidden="1" x14ac:dyDescent="0.15">
      <c r="B13" s="9" t="s">
        <v>321</v>
      </c>
    </row>
    <row r="14" spans="1:10" hidden="1" x14ac:dyDescent="0.15"/>
    <row r="15" spans="1:10" hidden="1" x14ac:dyDescent="0.15"/>
    <row r="16" spans="1:10" hidden="1" x14ac:dyDescent="0.15"/>
    <row r="17" spans="2:11" hidden="1" x14ac:dyDescent="0.15">
      <c r="B17" s="13" t="s">
        <v>322</v>
      </c>
      <c r="C17" s="490" t="s">
        <v>323</v>
      </c>
      <c r="D17" s="490"/>
      <c r="E17" s="490"/>
      <c r="F17" s="490"/>
      <c r="H17" s="13" t="s">
        <v>318</v>
      </c>
      <c r="I17" s="13" t="s">
        <v>324</v>
      </c>
      <c r="J17" s="13" t="s">
        <v>325</v>
      </c>
      <c r="K17" s="13" t="s">
        <v>326</v>
      </c>
    </row>
    <row r="18" spans="2:11" hidden="1" x14ac:dyDescent="0.15">
      <c r="B18" s="52" t="s">
        <v>315</v>
      </c>
      <c r="C18" s="491"/>
      <c r="D18" s="492"/>
      <c r="E18" s="492"/>
      <c r="F18" s="493"/>
      <c r="H18" s="47">
        <f>B11</f>
        <v>0</v>
      </c>
      <c r="I18" s="48" t="e">
        <f>(原価試算!I114-D11)/(原価試算!H114-C11)</f>
        <v>#DIV/0!</v>
      </c>
      <c r="J18" s="48" t="e">
        <f>原価試算!I163</f>
        <v>#DIV/0!</v>
      </c>
      <c r="K18" s="48" t="e">
        <f>原価試算!I164</f>
        <v>#DIV/0!</v>
      </c>
    </row>
    <row r="19" spans="2:11" hidden="1" x14ac:dyDescent="0.15">
      <c r="B19" s="53" t="s">
        <v>316</v>
      </c>
      <c r="C19" s="483"/>
      <c r="D19" s="484"/>
      <c r="E19" s="484"/>
      <c r="F19" s="485"/>
      <c r="H19" s="49">
        <f>E11</f>
        <v>0</v>
      </c>
      <c r="I19" s="35" t="e">
        <f>(原価試算!L114-G11)/(原価試算!K114-F11)</f>
        <v>#DIV/0!</v>
      </c>
      <c r="J19" s="35" t="e">
        <f>原価試算!L163</f>
        <v>#DIV/0!</v>
      </c>
      <c r="K19" s="35" t="e">
        <f>原価試算!L164</f>
        <v>#DIV/0!</v>
      </c>
    </row>
    <row r="20" spans="2:11" hidden="1" x14ac:dyDescent="0.15">
      <c r="B20" s="54" t="s">
        <v>317</v>
      </c>
      <c r="C20" s="486"/>
      <c r="D20" s="487"/>
      <c r="E20" s="487"/>
      <c r="F20" s="488"/>
      <c r="H20" s="50">
        <f>H11</f>
        <v>0</v>
      </c>
      <c r="I20" s="51" t="e">
        <f>(原価試算!O114-J11)/(原価試算!N114-I11)</f>
        <v>#DIV/0!</v>
      </c>
      <c r="J20" s="51" t="e">
        <f>原価試算!O163</f>
        <v>#DIV/0!</v>
      </c>
      <c r="K20" s="51" t="e">
        <f>原価試算!O164</f>
        <v>#DIV/0!</v>
      </c>
    </row>
    <row r="21" spans="2:11" hidden="1" x14ac:dyDescent="0.15"/>
    <row r="22" spans="2:11" hidden="1" x14ac:dyDescent="0.15">
      <c r="B22" s="9" t="s">
        <v>327</v>
      </c>
    </row>
    <row r="23" spans="2:11" hidden="1" x14ac:dyDescent="0.15"/>
    <row r="24" spans="2:11" hidden="1" x14ac:dyDescent="0.15"/>
    <row r="25" spans="2:11" hidden="1" x14ac:dyDescent="0.15"/>
    <row r="26" spans="2:11" hidden="1" x14ac:dyDescent="0.15">
      <c r="B26" s="13" t="s">
        <v>322</v>
      </c>
      <c r="C26" s="490" t="s">
        <v>323</v>
      </c>
      <c r="D26" s="490"/>
      <c r="E26" s="490"/>
      <c r="F26" s="490"/>
      <c r="H26" s="13" t="s">
        <v>318</v>
      </c>
      <c r="I26" s="13" t="s">
        <v>325</v>
      </c>
      <c r="J26" s="13" t="s">
        <v>326</v>
      </c>
    </row>
    <row r="27" spans="2:11" hidden="1" x14ac:dyDescent="0.15">
      <c r="B27" s="52" t="s">
        <v>315</v>
      </c>
      <c r="C27" s="491"/>
      <c r="D27" s="492"/>
      <c r="E27" s="492"/>
      <c r="F27" s="493"/>
      <c r="H27" s="47">
        <f>B11</f>
        <v>0</v>
      </c>
      <c r="I27" s="48" t="e">
        <f>原価試算!I163</f>
        <v>#DIV/0!</v>
      </c>
      <c r="J27" s="48" t="e">
        <f>原価試算!I164</f>
        <v>#DIV/0!</v>
      </c>
    </row>
    <row r="28" spans="2:11" hidden="1" x14ac:dyDescent="0.15">
      <c r="B28" s="53" t="s">
        <v>316</v>
      </c>
      <c r="C28" s="483"/>
      <c r="D28" s="484"/>
      <c r="E28" s="484"/>
      <c r="F28" s="485"/>
      <c r="H28" s="49">
        <f>E11</f>
        <v>0</v>
      </c>
      <c r="I28" s="35" t="e">
        <f>原価試算!L163</f>
        <v>#DIV/0!</v>
      </c>
      <c r="J28" s="35" t="e">
        <f>原価試算!L164</f>
        <v>#DIV/0!</v>
      </c>
    </row>
    <row r="29" spans="2:11" hidden="1" x14ac:dyDescent="0.15">
      <c r="B29" s="54" t="s">
        <v>317</v>
      </c>
      <c r="C29" s="486"/>
      <c r="D29" s="487"/>
      <c r="E29" s="487"/>
      <c r="F29" s="488"/>
      <c r="H29" s="50">
        <f>H11</f>
        <v>0</v>
      </c>
      <c r="I29" s="51" t="e">
        <f>原価試算!O163</f>
        <v>#DIV/0!</v>
      </c>
      <c r="J29" s="51" t="e">
        <f>原価試算!O164</f>
        <v>#DIV/0!</v>
      </c>
    </row>
    <row r="30" spans="2:11" hidden="1" x14ac:dyDescent="0.15"/>
    <row r="31" spans="2:11" hidden="1" x14ac:dyDescent="0.15">
      <c r="B31" s="9" t="s">
        <v>72</v>
      </c>
    </row>
    <row r="32" spans="2:11" hidden="1" x14ac:dyDescent="0.15"/>
    <row r="33" spans="2:11" hidden="1" x14ac:dyDescent="0.15"/>
    <row r="34" spans="2:11" hidden="1" x14ac:dyDescent="0.15"/>
    <row r="35" spans="2:11" hidden="1" x14ac:dyDescent="0.15">
      <c r="B35" s="13" t="s">
        <v>322</v>
      </c>
      <c r="C35" s="58" t="s">
        <v>323</v>
      </c>
      <c r="E35" s="58" t="s">
        <v>328</v>
      </c>
    </row>
    <row r="36" spans="2:11" hidden="1" x14ac:dyDescent="0.15">
      <c r="B36" s="52" t="s">
        <v>315</v>
      </c>
      <c r="C36" s="57"/>
      <c r="E36" s="59" t="e">
        <f>原価試算!I165</f>
        <v>#DIV/0!</v>
      </c>
    </row>
    <row r="37" spans="2:11" hidden="1" x14ac:dyDescent="0.15">
      <c r="B37" s="53" t="s">
        <v>316</v>
      </c>
      <c r="C37" s="55"/>
      <c r="E37" s="35" t="e">
        <f>原価試算!L165</f>
        <v>#DIV/0!</v>
      </c>
    </row>
    <row r="38" spans="2:11" hidden="1" x14ac:dyDescent="0.15">
      <c r="B38" s="54" t="s">
        <v>317</v>
      </c>
      <c r="C38" s="56"/>
      <c r="E38" s="51" t="e">
        <f>原価試算!O165</f>
        <v>#DIV/0!</v>
      </c>
    </row>
    <row r="39" spans="2:11" hidden="1" x14ac:dyDescent="0.15"/>
    <row r="40" spans="2:11" hidden="1" x14ac:dyDescent="0.15">
      <c r="B40" s="9" t="s">
        <v>329</v>
      </c>
    </row>
    <row r="41" spans="2:11" hidden="1" x14ac:dyDescent="0.15"/>
    <row r="42" spans="2:11" hidden="1" x14ac:dyDescent="0.15"/>
    <row r="43" spans="2:11" hidden="1" x14ac:dyDescent="0.15"/>
    <row r="44" spans="2:11" hidden="1" x14ac:dyDescent="0.15">
      <c r="B44" s="13" t="s">
        <v>322</v>
      </c>
      <c r="C44" s="480" t="s">
        <v>330</v>
      </c>
      <c r="D44" s="480"/>
      <c r="E44" s="480"/>
      <c r="F44" s="58" t="s">
        <v>331</v>
      </c>
      <c r="H44" s="58" t="s">
        <v>332</v>
      </c>
      <c r="I44" s="58" t="s">
        <v>328</v>
      </c>
      <c r="J44" s="58" t="s">
        <v>333</v>
      </c>
      <c r="K44" s="58" t="s">
        <v>331</v>
      </c>
    </row>
    <row r="45" spans="2:11" hidden="1" x14ac:dyDescent="0.15">
      <c r="B45" s="52" t="s">
        <v>315</v>
      </c>
      <c r="C45" s="481" t="s">
        <v>334</v>
      </c>
      <c r="D45" s="481"/>
      <c r="E45" s="481"/>
      <c r="F45" s="59"/>
      <c r="H45" s="59">
        <v>180</v>
      </c>
      <c r="I45" s="59" t="e">
        <f>H45-46*100/$B$11+原価試算!$I$163+原価試算!$I$164+1</f>
        <v>#DIV/0!</v>
      </c>
      <c r="J45" s="60">
        <f>(H45-27.22)*100/84+2.7</f>
        <v>184.58095238095237</v>
      </c>
      <c r="K45" s="61" t="e">
        <f>I45-J45</f>
        <v>#DIV/0!</v>
      </c>
    </row>
    <row r="46" spans="2:11" hidden="1" x14ac:dyDescent="0.15">
      <c r="B46" s="53" t="s">
        <v>316</v>
      </c>
      <c r="C46" s="482" t="s">
        <v>334</v>
      </c>
      <c r="D46" s="482"/>
      <c r="E46" s="482"/>
      <c r="F46" s="35"/>
      <c r="H46" s="35">
        <v>180</v>
      </c>
      <c r="I46" s="35" t="e">
        <f>H46-46*100/$E$11+原価試算!$L$163+原価試算!$L$164+1</f>
        <v>#DIV/0!</v>
      </c>
      <c r="J46" s="62">
        <f>(H46-27.22)*100/84+2.7</f>
        <v>184.58095238095237</v>
      </c>
      <c r="K46" s="63" t="e">
        <f>I46-J46</f>
        <v>#DIV/0!</v>
      </c>
    </row>
    <row r="47" spans="2:11" hidden="1" x14ac:dyDescent="0.15">
      <c r="B47" s="54" t="s">
        <v>317</v>
      </c>
      <c r="C47" s="479" t="s">
        <v>334</v>
      </c>
      <c r="D47" s="479"/>
      <c r="E47" s="479"/>
      <c r="F47" s="51"/>
      <c r="H47" s="51">
        <v>180</v>
      </c>
      <c r="I47" s="51" t="e">
        <f>H47-46*100/$E$11+原価試算!$O$163+原価試算!$O$164+1</f>
        <v>#DIV/0!</v>
      </c>
      <c r="J47" s="64">
        <f>(H47-27.22)*100/84+2.7</f>
        <v>184.58095238095237</v>
      </c>
      <c r="K47" s="65" t="e">
        <f>I47-J47</f>
        <v>#DIV/0!</v>
      </c>
    </row>
    <row r="48" spans="2:11" hidden="1" x14ac:dyDescent="0.15"/>
    <row r="49" spans="2:12" hidden="1" x14ac:dyDescent="0.15">
      <c r="B49" s="9" t="s">
        <v>335</v>
      </c>
    </row>
    <row r="50" spans="2:12" hidden="1" x14ac:dyDescent="0.15"/>
    <row r="51" spans="2:12" hidden="1" x14ac:dyDescent="0.15"/>
    <row r="52" spans="2:12" hidden="1" x14ac:dyDescent="0.15"/>
    <row r="53" spans="2:12" hidden="1" x14ac:dyDescent="0.15">
      <c r="B53" s="13" t="s">
        <v>322</v>
      </c>
      <c r="C53" s="480" t="s">
        <v>330</v>
      </c>
      <c r="D53" s="480"/>
      <c r="E53" s="480"/>
      <c r="F53" s="480"/>
      <c r="G53" s="58" t="s">
        <v>331</v>
      </c>
      <c r="I53" s="58" t="s">
        <v>332</v>
      </c>
      <c r="J53" s="58" t="s">
        <v>328</v>
      </c>
      <c r="K53" s="58" t="s">
        <v>333</v>
      </c>
      <c r="L53" s="58" t="s">
        <v>331</v>
      </c>
    </row>
    <row r="54" spans="2:12" hidden="1" x14ac:dyDescent="0.15">
      <c r="B54" s="52" t="s">
        <v>315</v>
      </c>
      <c r="C54" s="481" t="s">
        <v>336</v>
      </c>
      <c r="D54" s="481"/>
      <c r="E54" s="481"/>
      <c r="F54" s="481"/>
      <c r="G54" s="59"/>
      <c r="I54" s="59">
        <v>180</v>
      </c>
      <c r="J54" s="59" t="e">
        <f>I54-46*100/$B$11+原価試算!$I$163+原価試算!$I$164+1</f>
        <v>#DIV/0!</v>
      </c>
      <c r="K54" s="60">
        <f>(I54-27.22)*100/84*99/100+3.12+5.2</f>
        <v>188.38214285714287</v>
      </c>
      <c r="L54" s="61" t="e">
        <f>J54-K54</f>
        <v>#DIV/0!</v>
      </c>
    </row>
    <row r="55" spans="2:12" hidden="1" x14ac:dyDescent="0.15">
      <c r="B55" s="53" t="s">
        <v>316</v>
      </c>
      <c r="C55" s="482" t="s">
        <v>336</v>
      </c>
      <c r="D55" s="482"/>
      <c r="E55" s="482"/>
      <c r="F55" s="482"/>
      <c r="G55" s="35"/>
      <c r="I55" s="35">
        <v>180</v>
      </c>
      <c r="J55" s="35" t="e">
        <f>I55-46*100/$E$11+原価試算!$L$163+原価試算!$L$164+1</f>
        <v>#DIV/0!</v>
      </c>
      <c r="K55" s="62">
        <f>(I55-27.22)*100/84*99/100+3.12+5.2</f>
        <v>188.38214285714287</v>
      </c>
      <c r="L55" s="63" t="e">
        <f>J55-K55</f>
        <v>#DIV/0!</v>
      </c>
    </row>
    <row r="56" spans="2:12" hidden="1" x14ac:dyDescent="0.15">
      <c r="B56" s="54" t="s">
        <v>317</v>
      </c>
      <c r="C56" s="479" t="s">
        <v>336</v>
      </c>
      <c r="D56" s="479"/>
      <c r="E56" s="479"/>
      <c r="F56" s="479"/>
      <c r="G56" s="51"/>
      <c r="I56" s="51">
        <v>180</v>
      </c>
      <c r="J56" s="51" t="e">
        <f>I56-46*100/$H$11+原価試算!$O$163+原価試算!$O$164+1</f>
        <v>#DIV/0!</v>
      </c>
      <c r="K56" s="64">
        <f>(I56-27.22)*100/84*99/100+3.12+5.2</f>
        <v>188.38214285714287</v>
      </c>
      <c r="L56" s="65" t="e">
        <f>J56-K56</f>
        <v>#DIV/0!</v>
      </c>
    </row>
    <row r="57" spans="2:12" hidden="1" x14ac:dyDescent="0.15"/>
    <row r="58" spans="2:12" hidden="1" x14ac:dyDescent="0.15">
      <c r="B58" s="9" t="s">
        <v>337</v>
      </c>
    </row>
    <row r="59" spans="2:12" hidden="1" x14ac:dyDescent="0.15"/>
    <row r="60" spans="2:12" hidden="1" x14ac:dyDescent="0.15"/>
    <row r="61" spans="2:12" hidden="1" x14ac:dyDescent="0.15"/>
    <row r="62" spans="2:12" hidden="1" x14ac:dyDescent="0.15">
      <c r="B62" s="13" t="s">
        <v>322</v>
      </c>
      <c r="C62" s="480" t="s">
        <v>330</v>
      </c>
      <c r="D62" s="480"/>
      <c r="E62" s="480"/>
      <c r="F62" s="480"/>
      <c r="G62" s="58" t="s">
        <v>331</v>
      </c>
      <c r="I62" s="58" t="s">
        <v>332</v>
      </c>
      <c r="J62" s="58" t="s">
        <v>328</v>
      </c>
      <c r="K62" s="58" t="s">
        <v>333</v>
      </c>
      <c r="L62" s="58" t="s">
        <v>331</v>
      </c>
    </row>
    <row r="63" spans="2:12" hidden="1" x14ac:dyDescent="0.15">
      <c r="B63" s="52" t="s">
        <v>315</v>
      </c>
      <c r="C63" s="481" t="s">
        <v>338</v>
      </c>
      <c r="D63" s="481"/>
      <c r="E63" s="481"/>
      <c r="F63" s="481"/>
      <c r="G63" s="59"/>
      <c r="I63" s="59">
        <v>180</v>
      </c>
      <c r="J63" s="59" t="e">
        <f>I63-46*100/$B$11+原価試算!$I$163+原価試算!$I$164+1</f>
        <v>#DIV/0!</v>
      </c>
      <c r="K63" s="60">
        <f>(I63-27.22)*100/84*65/100+(96*35/100)+2</f>
        <v>153.82261904761904</v>
      </c>
      <c r="L63" s="61" t="e">
        <f>J63-K63</f>
        <v>#DIV/0!</v>
      </c>
    </row>
    <row r="64" spans="2:12" hidden="1" x14ac:dyDescent="0.15">
      <c r="B64" s="53" t="s">
        <v>316</v>
      </c>
      <c r="C64" s="482" t="s">
        <v>338</v>
      </c>
      <c r="D64" s="482"/>
      <c r="E64" s="482"/>
      <c r="F64" s="482"/>
      <c r="G64" s="35"/>
      <c r="I64" s="35">
        <v>180</v>
      </c>
      <c r="J64" s="35" t="e">
        <f>I64-46*100/$E$11+原価試算!$L$163+原価試算!$L$164+1</f>
        <v>#DIV/0!</v>
      </c>
      <c r="K64" s="62">
        <f>(I64-27.22)*100/84*65/100+(96*35/100)+2</f>
        <v>153.82261904761904</v>
      </c>
      <c r="L64" s="63" t="e">
        <f>J64-K64</f>
        <v>#DIV/0!</v>
      </c>
    </row>
    <row r="65" spans="2:12" hidden="1" x14ac:dyDescent="0.15">
      <c r="B65" s="54" t="s">
        <v>317</v>
      </c>
      <c r="C65" s="479" t="s">
        <v>338</v>
      </c>
      <c r="D65" s="479"/>
      <c r="E65" s="479"/>
      <c r="F65" s="479"/>
      <c r="G65" s="51"/>
      <c r="I65" s="51">
        <v>180</v>
      </c>
      <c r="J65" s="51" t="e">
        <f>I65-46*100/$H$11+原価試算!$O$163+原価試算!$O$164+1</f>
        <v>#DIV/0!</v>
      </c>
      <c r="K65" s="64">
        <f>(I65-27.22)*100/84*65/100+(96*35/100)+2</f>
        <v>153.82261904761904</v>
      </c>
      <c r="L65" s="65" t="e">
        <f>J65-K65</f>
        <v>#DIV/0!</v>
      </c>
    </row>
    <row r="66" spans="2:12" hidden="1" x14ac:dyDescent="0.15"/>
    <row r="67" spans="2:12" hidden="1" x14ac:dyDescent="0.15">
      <c r="B67" s="9" t="s">
        <v>339</v>
      </c>
    </row>
    <row r="68" spans="2:12" hidden="1" x14ac:dyDescent="0.15"/>
    <row r="69" spans="2:12" hidden="1" x14ac:dyDescent="0.15"/>
    <row r="70" spans="2:12" hidden="1" x14ac:dyDescent="0.15"/>
    <row r="71" spans="2:12" hidden="1" x14ac:dyDescent="0.15">
      <c r="B71" s="13" t="s">
        <v>322</v>
      </c>
      <c r="C71" s="480" t="s">
        <v>330</v>
      </c>
      <c r="D71" s="480"/>
      <c r="E71" s="480"/>
      <c r="F71" s="480"/>
      <c r="G71" s="58" t="s">
        <v>331</v>
      </c>
      <c r="I71" s="58" t="s">
        <v>332</v>
      </c>
      <c r="J71" s="58" t="s">
        <v>328</v>
      </c>
      <c r="K71" s="58" t="s">
        <v>333</v>
      </c>
      <c r="L71" s="58" t="s">
        <v>331</v>
      </c>
    </row>
    <row r="72" spans="2:12" hidden="1" x14ac:dyDescent="0.15">
      <c r="B72" s="52" t="s">
        <v>315</v>
      </c>
      <c r="C72" s="481" t="s">
        <v>340</v>
      </c>
      <c r="D72" s="481"/>
      <c r="E72" s="481"/>
      <c r="F72" s="481"/>
      <c r="G72" s="59"/>
      <c r="I72" s="59">
        <v>180</v>
      </c>
      <c r="J72" s="59" t="e">
        <f>I72-46*100/$B$11+原価試算!$I$163+原価試算!$I$164+1</f>
        <v>#DIV/0!</v>
      </c>
      <c r="K72" s="60">
        <f>((I72-17.6)*100/31.5-125)*0.4+(99.9*0.6)+2</f>
        <v>218.16222222222223</v>
      </c>
      <c r="L72" s="61" t="e">
        <f>J72-K72</f>
        <v>#DIV/0!</v>
      </c>
    </row>
    <row r="73" spans="2:12" hidden="1" x14ac:dyDescent="0.15">
      <c r="B73" s="53" t="s">
        <v>316</v>
      </c>
      <c r="C73" s="482" t="s">
        <v>340</v>
      </c>
      <c r="D73" s="482"/>
      <c r="E73" s="482"/>
      <c r="F73" s="482"/>
      <c r="G73" s="35"/>
      <c r="I73" s="35">
        <v>180</v>
      </c>
      <c r="J73" s="35" t="e">
        <f>I73-46*100/$E$11+原価試算!$L$163+原価試算!$L$164+1</f>
        <v>#DIV/0!</v>
      </c>
      <c r="K73" s="62">
        <f>((I73-17.6)*100/31.5-125)*0.4+(99.9*0.6)+2</f>
        <v>218.16222222222223</v>
      </c>
      <c r="L73" s="63" t="e">
        <f>J73-K73</f>
        <v>#DIV/0!</v>
      </c>
    </row>
    <row r="74" spans="2:12" hidden="1" x14ac:dyDescent="0.15">
      <c r="B74" s="54" t="s">
        <v>317</v>
      </c>
      <c r="C74" s="479" t="s">
        <v>340</v>
      </c>
      <c r="D74" s="479"/>
      <c r="E74" s="479"/>
      <c r="F74" s="479"/>
      <c r="G74" s="51"/>
      <c r="I74" s="51">
        <v>180</v>
      </c>
      <c r="J74" s="51" t="e">
        <f>I74-46*100/$H$11+原価試算!$O$163+原価試算!$O$164+1</f>
        <v>#DIV/0!</v>
      </c>
      <c r="K74" s="64">
        <f>((I74-17.6)*100/31.5-125)*0.4+(99.9*0.6)+2</f>
        <v>218.16222222222223</v>
      </c>
      <c r="L74" s="65" t="e">
        <f>J74-K74</f>
        <v>#DIV/0!</v>
      </c>
    </row>
    <row r="75" spans="2:12" hidden="1" x14ac:dyDescent="0.15"/>
    <row r="76" spans="2:12" hidden="1" x14ac:dyDescent="0.15">
      <c r="B76" s="9" t="s">
        <v>341</v>
      </c>
    </row>
    <row r="77" spans="2:12" hidden="1" x14ac:dyDescent="0.15"/>
    <row r="78" spans="2:12" hidden="1" x14ac:dyDescent="0.15"/>
    <row r="79" spans="2:12" hidden="1" x14ac:dyDescent="0.15"/>
    <row r="80" spans="2:12" hidden="1" x14ac:dyDescent="0.15">
      <c r="B80" s="13" t="s">
        <v>322</v>
      </c>
      <c r="C80" s="494" t="s">
        <v>330</v>
      </c>
      <c r="D80" s="495"/>
      <c r="E80" s="496"/>
      <c r="F80" s="58" t="s">
        <v>331</v>
      </c>
      <c r="H80" s="58" t="s">
        <v>332</v>
      </c>
      <c r="I80" s="58" t="s">
        <v>328</v>
      </c>
      <c r="J80" s="58" t="s">
        <v>333</v>
      </c>
      <c r="K80" s="58" t="s">
        <v>331</v>
      </c>
    </row>
    <row r="81" spans="2:11" hidden="1" x14ac:dyDescent="0.15">
      <c r="B81" s="52" t="s">
        <v>315</v>
      </c>
      <c r="C81" s="497" t="s">
        <v>342</v>
      </c>
      <c r="D81" s="498"/>
      <c r="E81" s="499"/>
      <c r="F81" s="59"/>
      <c r="H81" s="59">
        <v>180</v>
      </c>
      <c r="I81" s="59" t="e">
        <f>H81-46*100/$B$11+原価試算!$I$163+原価試算!$I$164+1</f>
        <v>#DIV/0!</v>
      </c>
      <c r="J81" s="60">
        <f>(H81-17.6)*100/31.5-125</f>
        <v>390.55555555555554</v>
      </c>
      <c r="K81" s="61" t="e">
        <f>I81-J81</f>
        <v>#DIV/0!</v>
      </c>
    </row>
    <row r="82" spans="2:11" hidden="1" x14ac:dyDescent="0.15">
      <c r="B82" s="53" t="s">
        <v>316</v>
      </c>
      <c r="C82" s="500" t="s">
        <v>342</v>
      </c>
      <c r="D82" s="501"/>
      <c r="E82" s="502"/>
      <c r="F82" s="35"/>
      <c r="H82" s="35">
        <v>180</v>
      </c>
      <c r="I82" s="35" t="e">
        <f>H82-46*100/$E$11+原価試算!$L$163+原価試算!$L$164+1</f>
        <v>#DIV/0!</v>
      </c>
      <c r="J82" s="62">
        <f>(H82-17.6)*100/31.5-125</f>
        <v>390.55555555555554</v>
      </c>
      <c r="K82" s="63" t="e">
        <f>I82-J82</f>
        <v>#DIV/0!</v>
      </c>
    </row>
    <row r="83" spans="2:11" hidden="1" x14ac:dyDescent="0.15">
      <c r="B83" s="54" t="s">
        <v>317</v>
      </c>
      <c r="C83" s="503" t="s">
        <v>342</v>
      </c>
      <c r="D83" s="504"/>
      <c r="E83" s="505"/>
      <c r="F83" s="51"/>
      <c r="H83" s="51">
        <v>180</v>
      </c>
      <c r="I83" s="51" t="e">
        <f>H83-46*100/$H$11+原価試算!$O$163+原価試算!$O$164+1</f>
        <v>#DIV/0!</v>
      </c>
      <c r="J83" s="64">
        <f>(H83-17.6)*100/31.5-125</f>
        <v>390.55555555555554</v>
      </c>
      <c r="K83" s="65" t="e">
        <f>I83-J83</f>
        <v>#DIV/0!</v>
      </c>
    </row>
    <row r="84" spans="2:11" hidden="1" x14ac:dyDescent="0.15"/>
    <row r="85" spans="2:11" hidden="1" x14ac:dyDescent="0.15">
      <c r="B85" s="9" t="s">
        <v>343</v>
      </c>
    </row>
    <row r="86" spans="2:11" hidden="1" x14ac:dyDescent="0.15"/>
    <row r="87" spans="2:11" hidden="1" x14ac:dyDescent="0.15"/>
    <row r="88" spans="2:11" hidden="1" x14ac:dyDescent="0.15"/>
    <row r="89" spans="2:11" hidden="1" x14ac:dyDescent="0.15">
      <c r="B89" s="13" t="s">
        <v>322</v>
      </c>
      <c r="C89" s="494" t="s">
        <v>330</v>
      </c>
      <c r="D89" s="495"/>
      <c r="E89" s="496"/>
      <c r="F89" s="58" t="s">
        <v>331</v>
      </c>
      <c r="H89" s="58" t="s">
        <v>332</v>
      </c>
      <c r="I89" s="58" t="s">
        <v>328</v>
      </c>
      <c r="J89" s="58" t="s">
        <v>333</v>
      </c>
      <c r="K89" s="58" t="s">
        <v>331</v>
      </c>
    </row>
    <row r="90" spans="2:11" hidden="1" x14ac:dyDescent="0.15">
      <c r="B90" s="52" t="s">
        <v>315</v>
      </c>
      <c r="C90" s="497" t="s">
        <v>344</v>
      </c>
      <c r="D90" s="498"/>
      <c r="E90" s="499"/>
      <c r="F90" s="59"/>
      <c r="H90" s="59">
        <v>180</v>
      </c>
      <c r="I90" s="59" t="e">
        <f>H90-46*100/$B$11+原価試算!$I$163+原価試算!$I$164+1</f>
        <v>#DIV/0!</v>
      </c>
      <c r="J90" s="60">
        <f>(H90-27.84)*100/84+2.7</f>
        <v>183.84285714285713</v>
      </c>
      <c r="K90" s="61" t="e">
        <f>I90-J90</f>
        <v>#DIV/0!</v>
      </c>
    </row>
    <row r="91" spans="2:11" hidden="1" x14ac:dyDescent="0.15">
      <c r="B91" s="53" t="s">
        <v>316</v>
      </c>
      <c r="C91" s="500" t="s">
        <v>344</v>
      </c>
      <c r="D91" s="501"/>
      <c r="E91" s="502"/>
      <c r="F91" s="35"/>
      <c r="H91" s="35">
        <v>180</v>
      </c>
      <c r="I91" s="35" t="e">
        <f>H91-46*100/$E$11+原価試算!$L$163+原価試算!$L$164+1</f>
        <v>#DIV/0!</v>
      </c>
      <c r="J91" s="62">
        <f>(H91-27.84)*100/84+2.7</f>
        <v>183.84285714285713</v>
      </c>
      <c r="K91" s="63" t="e">
        <f>I91-J91</f>
        <v>#DIV/0!</v>
      </c>
    </row>
    <row r="92" spans="2:11" hidden="1" x14ac:dyDescent="0.15">
      <c r="B92" s="54" t="s">
        <v>317</v>
      </c>
      <c r="C92" s="503" t="s">
        <v>344</v>
      </c>
      <c r="D92" s="504"/>
      <c r="E92" s="505"/>
      <c r="F92" s="51"/>
      <c r="H92" s="51">
        <v>180</v>
      </c>
      <c r="I92" s="51" t="e">
        <f>H92-46*100/$H$11+原価試算!$O$163+原価試算!$O$164+1</f>
        <v>#DIV/0!</v>
      </c>
      <c r="J92" s="64">
        <f>(H92-27.84)*100/84+2.7</f>
        <v>183.84285714285713</v>
      </c>
      <c r="K92" s="65" t="e">
        <f>I92-J92</f>
        <v>#DIV/0!</v>
      </c>
    </row>
    <row r="93" spans="2:11" hidden="1" x14ac:dyDescent="0.15"/>
    <row r="94" spans="2:11" hidden="1" x14ac:dyDescent="0.15">
      <c r="B94" s="9" t="s">
        <v>345</v>
      </c>
    </row>
    <row r="95" spans="2:11" hidden="1" x14ac:dyDescent="0.15"/>
    <row r="96" spans="2:11" hidden="1" x14ac:dyDescent="0.15"/>
    <row r="97" spans="2:12" hidden="1" x14ac:dyDescent="0.15"/>
    <row r="98" spans="2:12" hidden="1" x14ac:dyDescent="0.15">
      <c r="B98" s="13" t="s">
        <v>322</v>
      </c>
      <c r="C98" s="480" t="s">
        <v>330</v>
      </c>
      <c r="D98" s="480"/>
      <c r="E98" s="480"/>
      <c r="F98" s="480"/>
      <c r="G98" s="58" t="s">
        <v>331</v>
      </c>
      <c r="I98" s="58" t="s">
        <v>332</v>
      </c>
      <c r="J98" s="58" t="s">
        <v>328</v>
      </c>
      <c r="K98" s="58" t="s">
        <v>333</v>
      </c>
      <c r="L98" s="58" t="s">
        <v>331</v>
      </c>
    </row>
    <row r="99" spans="2:12" hidden="1" x14ac:dyDescent="0.15">
      <c r="B99" s="52" t="s">
        <v>315</v>
      </c>
      <c r="C99" s="481" t="s">
        <v>346</v>
      </c>
      <c r="D99" s="481"/>
      <c r="E99" s="481"/>
      <c r="F99" s="481"/>
      <c r="G99" s="59"/>
      <c r="I99" s="59">
        <v>180</v>
      </c>
      <c r="J99" s="59" t="e">
        <f>I99-46*100/$B$11+原価試算!$I$163+原価試算!$I$164+1</f>
        <v>#DIV/0!</v>
      </c>
      <c r="K99" s="60">
        <f>(I99-27.84)*100/84*99/100+3.12+5.2</f>
        <v>187.65142857142854</v>
      </c>
      <c r="L99" s="61" t="e">
        <f>J99-K99</f>
        <v>#DIV/0!</v>
      </c>
    </row>
    <row r="100" spans="2:12" hidden="1" x14ac:dyDescent="0.15">
      <c r="B100" s="53" t="s">
        <v>316</v>
      </c>
      <c r="C100" s="482" t="s">
        <v>346</v>
      </c>
      <c r="D100" s="482"/>
      <c r="E100" s="482"/>
      <c r="F100" s="482"/>
      <c r="G100" s="35"/>
      <c r="I100" s="35">
        <v>180</v>
      </c>
      <c r="J100" s="35" t="e">
        <f>I100-46*100/$E$11+原価試算!$L$163+原価試算!$L$164+1</f>
        <v>#DIV/0!</v>
      </c>
      <c r="K100" s="62">
        <f>(I100-27.84)*100/84*99/100+3.12+5.2</f>
        <v>187.65142857142854</v>
      </c>
      <c r="L100" s="63" t="e">
        <f>J100-K100</f>
        <v>#DIV/0!</v>
      </c>
    </row>
    <row r="101" spans="2:12" hidden="1" x14ac:dyDescent="0.15">
      <c r="B101" s="54" t="s">
        <v>317</v>
      </c>
      <c r="C101" s="479" t="s">
        <v>346</v>
      </c>
      <c r="D101" s="479"/>
      <c r="E101" s="479"/>
      <c r="F101" s="479"/>
      <c r="G101" s="51"/>
      <c r="I101" s="51">
        <v>180</v>
      </c>
      <c r="J101" s="51" t="e">
        <f>I101-46*100/$H$11+原価試算!$O$163+原価試算!$O$164+1</f>
        <v>#DIV/0!</v>
      </c>
      <c r="K101" s="64">
        <f>(I101-27.84)*100/84*99/100+3.12+5.2</f>
        <v>187.65142857142854</v>
      </c>
      <c r="L101" s="65" t="e">
        <f>J101-K101</f>
        <v>#DIV/0!</v>
      </c>
    </row>
    <row r="102" spans="2:12" hidden="1" x14ac:dyDescent="0.15"/>
    <row r="103" spans="2:12" hidden="1" x14ac:dyDescent="0.15">
      <c r="B103" s="9" t="s">
        <v>347</v>
      </c>
    </row>
    <row r="104" spans="2:12" hidden="1" x14ac:dyDescent="0.15"/>
    <row r="105" spans="2:12" hidden="1" x14ac:dyDescent="0.15"/>
    <row r="106" spans="2:12" hidden="1" x14ac:dyDescent="0.15"/>
    <row r="107" spans="2:12" hidden="1" x14ac:dyDescent="0.15">
      <c r="B107" s="13" t="s">
        <v>322</v>
      </c>
      <c r="C107" s="58" t="s">
        <v>323</v>
      </c>
      <c r="E107" s="58" t="s">
        <v>328</v>
      </c>
    </row>
    <row r="108" spans="2:12" hidden="1" x14ac:dyDescent="0.15">
      <c r="B108" s="52" t="s">
        <v>315</v>
      </c>
      <c r="C108" s="57"/>
      <c r="E108" s="59" t="e">
        <f>原価試算!$I$165</f>
        <v>#DIV/0!</v>
      </c>
    </row>
    <row r="109" spans="2:12" hidden="1" x14ac:dyDescent="0.15">
      <c r="B109" s="53" t="s">
        <v>316</v>
      </c>
      <c r="C109" s="55"/>
      <c r="E109" s="35" t="e">
        <f>原価試算!$L$165</f>
        <v>#DIV/0!</v>
      </c>
    </row>
    <row r="110" spans="2:12" hidden="1" x14ac:dyDescent="0.15">
      <c r="B110" s="54" t="s">
        <v>317</v>
      </c>
      <c r="C110" s="56"/>
      <c r="E110" s="51" t="e">
        <f>原価試算!$O$165</f>
        <v>#DIV/0!</v>
      </c>
    </row>
    <row r="111" spans="2:12" hidden="1" x14ac:dyDescent="0.15"/>
    <row r="112" spans="2:12" hidden="1" x14ac:dyDescent="0.15">
      <c r="B112" s="9" t="s">
        <v>348</v>
      </c>
    </row>
    <row r="113" spans="2:13" hidden="1" x14ac:dyDescent="0.15"/>
    <row r="114" spans="2:13" hidden="1" x14ac:dyDescent="0.15"/>
    <row r="115" spans="2:13" hidden="1" x14ac:dyDescent="0.15"/>
    <row r="116" spans="2:13" hidden="1" x14ac:dyDescent="0.15">
      <c r="B116" s="13" t="s">
        <v>322</v>
      </c>
      <c r="C116" s="494" t="s">
        <v>330</v>
      </c>
      <c r="D116" s="495"/>
      <c r="E116" s="495"/>
      <c r="F116" s="495"/>
      <c r="G116" s="496"/>
      <c r="H116" s="58" t="s">
        <v>331</v>
      </c>
      <c r="J116" s="58" t="s">
        <v>332</v>
      </c>
      <c r="K116" s="58" t="s">
        <v>328</v>
      </c>
      <c r="L116" s="58" t="s">
        <v>333</v>
      </c>
      <c r="M116" s="58" t="s">
        <v>331</v>
      </c>
    </row>
    <row r="117" spans="2:13" hidden="1" x14ac:dyDescent="0.15">
      <c r="B117" s="52" t="s">
        <v>315</v>
      </c>
      <c r="C117" s="497" t="s">
        <v>349</v>
      </c>
      <c r="D117" s="498"/>
      <c r="E117" s="498"/>
      <c r="F117" s="498"/>
      <c r="G117" s="499"/>
      <c r="H117" s="59"/>
      <c r="J117" s="59">
        <v>180</v>
      </c>
      <c r="K117" s="59" t="e">
        <f>J117-46*100/$B$11+原価試算!$I$163+原価試算!$I$164+1</f>
        <v>#DIV/0!</v>
      </c>
      <c r="L117" s="60">
        <f>((J117-17.6)*100/31.5-125)*0.48+(99.9*0.52)+2</f>
        <v>241.41466666666665</v>
      </c>
      <c r="M117" s="61" t="e">
        <f>K117-L117</f>
        <v>#DIV/0!</v>
      </c>
    </row>
    <row r="118" spans="2:13" hidden="1" x14ac:dyDescent="0.15">
      <c r="B118" s="53" t="s">
        <v>316</v>
      </c>
      <c r="C118" s="500" t="s">
        <v>349</v>
      </c>
      <c r="D118" s="501"/>
      <c r="E118" s="501"/>
      <c r="F118" s="501"/>
      <c r="G118" s="502"/>
      <c r="H118" s="35"/>
      <c r="J118" s="35">
        <v>180</v>
      </c>
      <c r="K118" s="35" t="e">
        <f>J118-46*100/$E$11+原価試算!$L$163+原価試算!$L$164+1</f>
        <v>#DIV/0!</v>
      </c>
      <c r="L118" s="62">
        <f>((J118-17.6)*100/31.5-125)*0.48+(99.9*0.52)+2</f>
        <v>241.41466666666665</v>
      </c>
      <c r="M118" s="63" t="e">
        <f>K118-L118</f>
        <v>#DIV/0!</v>
      </c>
    </row>
    <row r="119" spans="2:13" hidden="1" x14ac:dyDescent="0.15">
      <c r="B119" s="54" t="s">
        <v>317</v>
      </c>
      <c r="C119" s="503" t="s">
        <v>349</v>
      </c>
      <c r="D119" s="504"/>
      <c r="E119" s="504"/>
      <c r="F119" s="504"/>
      <c r="G119" s="505"/>
      <c r="H119" s="51"/>
      <c r="J119" s="51">
        <v>180</v>
      </c>
      <c r="K119" s="51" t="e">
        <f>J119-46*100/$H$11+原価試算!$O$163+原価試算!$O$164+1</f>
        <v>#DIV/0!</v>
      </c>
      <c r="L119" s="64">
        <f>((J119-17.6)*100/31.5-125)*0.48+(99.9*0.52)+2</f>
        <v>241.41466666666665</v>
      </c>
      <c r="M119" s="65" t="e">
        <f>K119-L119</f>
        <v>#DIV/0!</v>
      </c>
    </row>
    <row r="120" spans="2:13" hidden="1" x14ac:dyDescent="0.15"/>
    <row r="121" spans="2:13" hidden="1" x14ac:dyDescent="0.15">
      <c r="B121" s="9" t="s">
        <v>73</v>
      </c>
    </row>
    <row r="122" spans="2:13" hidden="1" x14ac:dyDescent="0.15"/>
    <row r="123" spans="2:13" hidden="1" x14ac:dyDescent="0.15"/>
    <row r="124" spans="2:13" hidden="1" x14ac:dyDescent="0.15"/>
    <row r="125" spans="2:13" hidden="1" x14ac:dyDescent="0.15">
      <c r="B125" s="13" t="s">
        <v>322</v>
      </c>
      <c r="C125" s="494" t="s">
        <v>330</v>
      </c>
      <c r="D125" s="495"/>
      <c r="E125" s="496"/>
      <c r="F125" s="58" t="s">
        <v>331</v>
      </c>
      <c r="H125" s="58" t="s">
        <v>332</v>
      </c>
      <c r="I125" s="58" t="s">
        <v>328</v>
      </c>
      <c r="J125" s="58" t="s">
        <v>333</v>
      </c>
      <c r="K125" s="58" t="s">
        <v>331</v>
      </c>
    </row>
    <row r="126" spans="2:13" hidden="1" x14ac:dyDescent="0.15">
      <c r="B126" s="52" t="s">
        <v>315</v>
      </c>
      <c r="C126" s="497" t="s">
        <v>342</v>
      </c>
      <c r="D126" s="498"/>
      <c r="E126" s="499"/>
      <c r="F126" s="59"/>
      <c r="H126" s="59">
        <v>180</v>
      </c>
      <c r="I126" s="59" t="e">
        <f>H126-46*100/$B$11+原価試算!$I$163+原価試算!$I$164+1</f>
        <v>#DIV/0!</v>
      </c>
      <c r="J126" s="60">
        <f>(H126-17.6)*100/31.5-125</f>
        <v>390.55555555555554</v>
      </c>
      <c r="K126" s="61" t="e">
        <f>I126-J126</f>
        <v>#DIV/0!</v>
      </c>
    </row>
    <row r="127" spans="2:13" hidden="1" x14ac:dyDescent="0.15">
      <c r="B127" s="53" t="s">
        <v>316</v>
      </c>
      <c r="C127" s="500" t="s">
        <v>342</v>
      </c>
      <c r="D127" s="501"/>
      <c r="E127" s="502"/>
      <c r="F127" s="35"/>
      <c r="H127" s="35">
        <v>180</v>
      </c>
      <c r="I127" s="35" t="e">
        <f>H127-46*100/$E$11+原価試算!$L$163+原価試算!$L$164+1</f>
        <v>#DIV/0!</v>
      </c>
      <c r="J127" s="62">
        <f>(H127-17.6)*100/31.5-125</f>
        <v>390.55555555555554</v>
      </c>
      <c r="K127" s="63" t="e">
        <f>I127-J127</f>
        <v>#DIV/0!</v>
      </c>
    </row>
    <row r="128" spans="2:13" hidden="1" x14ac:dyDescent="0.15">
      <c r="B128" s="54" t="s">
        <v>317</v>
      </c>
      <c r="C128" s="503" t="s">
        <v>342</v>
      </c>
      <c r="D128" s="504"/>
      <c r="E128" s="505"/>
      <c r="F128" s="51"/>
      <c r="H128" s="51">
        <v>180</v>
      </c>
      <c r="I128" s="51" t="e">
        <f>H128-46*100/$H$11+原価試算!$O$163+原価試算!$O$164+1</f>
        <v>#DIV/0!</v>
      </c>
      <c r="J128" s="64">
        <f>(H128-17.6)*100/31.5-125</f>
        <v>390.55555555555554</v>
      </c>
      <c r="K128" s="65" t="e">
        <f>I128-J128</f>
        <v>#DIV/0!</v>
      </c>
    </row>
    <row r="129" hidden="1" x14ac:dyDescent="0.15"/>
  </sheetData>
  <mergeCells count="47">
    <mergeCell ref="C126:E126"/>
    <mergeCell ref="C127:E127"/>
    <mergeCell ref="C128:E128"/>
    <mergeCell ref="C101:F101"/>
    <mergeCell ref="C116:G116"/>
    <mergeCell ref="C117:G117"/>
    <mergeCell ref="C118:G118"/>
    <mergeCell ref="C119:G119"/>
    <mergeCell ref="C125:E125"/>
    <mergeCell ref="C90:E90"/>
    <mergeCell ref="C91:E91"/>
    <mergeCell ref="C92:E92"/>
    <mergeCell ref="C98:F98"/>
    <mergeCell ref="C99:F99"/>
    <mergeCell ref="C100:F100"/>
    <mergeCell ref="E9:G9"/>
    <mergeCell ref="C80:E80"/>
    <mergeCell ref="C81:E81"/>
    <mergeCell ref="C82:E82"/>
    <mergeCell ref="C83:E83"/>
    <mergeCell ref="C89:E89"/>
    <mergeCell ref="C28:F28"/>
    <mergeCell ref="C29:F29"/>
    <mergeCell ref="H9:J9"/>
    <mergeCell ref="C17:F17"/>
    <mergeCell ref="C26:F26"/>
    <mergeCell ref="C27:F27"/>
    <mergeCell ref="C18:F18"/>
    <mergeCell ref="C19:F19"/>
    <mergeCell ref="C20:F20"/>
    <mergeCell ref="B9:D9"/>
    <mergeCell ref="C47:E47"/>
    <mergeCell ref="C53:F53"/>
    <mergeCell ref="C54:F54"/>
    <mergeCell ref="C55:F55"/>
    <mergeCell ref="C44:E44"/>
    <mergeCell ref="C45:E45"/>
    <mergeCell ref="C46:E46"/>
    <mergeCell ref="C74:F74"/>
    <mergeCell ref="C65:F65"/>
    <mergeCell ref="C71:F71"/>
    <mergeCell ref="C72:F72"/>
    <mergeCell ref="C73:F73"/>
    <mergeCell ref="C56:F56"/>
    <mergeCell ref="C62:F62"/>
    <mergeCell ref="C63:F63"/>
    <mergeCell ref="C64:F64"/>
  </mergeCells>
  <phoneticPr fontId="3"/>
  <pageMargins left="0.75" right="0.75" top="1" bottom="1" header="0.51200000000000001" footer="0.51200000000000001"/>
  <headerFooter alignWithMargins="0"/>
  <drawing r:id="rId1"/>
  <legacyDrawing r:id="rId2"/>
  <controls>
    <mc:AlternateContent xmlns:mc="http://schemas.openxmlformats.org/markup-compatibility/2006">
      <mc:Choice Requires="x14">
        <control shapeId="14379" r:id="rId3" name="Label2">
          <controlPr defaultSize="0" autoLine="0" r:id="rId4">
            <anchor moveWithCells="1">
              <from>
                <xdr:col>0</xdr:col>
                <xdr:colOff>609600</xdr:colOff>
                <xdr:row>4</xdr:row>
                <xdr:rowOff>47625</xdr:rowOff>
              </from>
              <to>
                <xdr:col>1</xdr:col>
                <xdr:colOff>781050</xdr:colOff>
                <xdr:row>5</xdr:row>
                <xdr:rowOff>19050</xdr:rowOff>
              </to>
            </anchor>
          </controlPr>
        </control>
      </mc:Choice>
      <mc:Fallback>
        <control shapeId="14379" r:id="rId3" name="Label2"/>
      </mc:Fallback>
    </mc:AlternateContent>
    <mc:AlternateContent xmlns:mc="http://schemas.openxmlformats.org/markup-compatibility/2006">
      <mc:Choice Requires="x14">
        <control shapeId="14378" r:id="rId5" name="Label1">
          <controlPr defaultSize="0" autoLine="0" r:id="rId6">
            <anchor moveWithCells="1">
              <from>
                <xdr:col>0</xdr:col>
                <xdr:colOff>619125</xdr:colOff>
                <xdr:row>2</xdr:row>
                <xdr:rowOff>9525</xdr:rowOff>
              </from>
              <to>
                <xdr:col>1</xdr:col>
                <xdr:colOff>790575</xdr:colOff>
                <xdr:row>2</xdr:row>
                <xdr:rowOff>152400</xdr:rowOff>
              </to>
            </anchor>
          </controlPr>
        </control>
      </mc:Choice>
      <mc:Fallback>
        <control shapeId="14378" r:id="rId5" name="Label1"/>
      </mc:Fallback>
    </mc:AlternateContent>
    <mc:AlternateContent xmlns:mc="http://schemas.openxmlformats.org/markup-compatibility/2006">
      <mc:Choice Requires="x14">
        <control shapeId="14377" r:id="rId7" name="OptionButton14">
          <controlPr defaultSize="0" autoLine="0" r:id="rId8">
            <anchor moveWithCells="1">
              <from>
                <xdr:col>2</xdr:col>
                <xdr:colOff>333375</xdr:colOff>
                <xdr:row>0</xdr:row>
                <xdr:rowOff>19050</xdr:rowOff>
              </from>
              <to>
                <xdr:col>3</xdr:col>
                <xdr:colOff>485775</xdr:colOff>
                <xdr:row>2</xdr:row>
                <xdr:rowOff>28575</xdr:rowOff>
              </to>
            </anchor>
          </controlPr>
        </control>
      </mc:Choice>
      <mc:Fallback>
        <control shapeId="14377" r:id="rId7" name="OptionButton14"/>
      </mc:Fallback>
    </mc:AlternateContent>
    <mc:AlternateContent xmlns:mc="http://schemas.openxmlformats.org/markup-compatibility/2006">
      <mc:Choice Requires="x14">
        <control shapeId="14376" r:id="rId9" name="OptionButton13">
          <controlPr defaultSize="0" autoLine="0" r:id="rId10">
            <anchor moveWithCells="1">
              <from>
                <xdr:col>7</xdr:col>
                <xdr:colOff>333375</xdr:colOff>
                <xdr:row>4</xdr:row>
                <xdr:rowOff>133350</xdr:rowOff>
              </from>
              <to>
                <xdr:col>9</xdr:col>
                <xdr:colOff>180975</xdr:colOff>
                <xdr:row>6</xdr:row>
                <xdr:rowOff>133350</xdr:rowOff>
              </to>
            </anchor>
          </controlPr>
        </control>
      </mc:Choice>
      <mc:Fallback>
        <control shapeId="14376" r:id="rId9" name="OptionButton13"/>
      </mc:Fallback>
    </mc:AlternateContent>
    <mc:AlternateContent xmlns:mc="http://schemas.openxmlformats.org/markup-compatibility/2006">
      <mc:Choice Requires="x14">
        <control shapeId="14375" r:id="rId11" name="OptionButton12">
          <controlPr defaultSize="0" autoLine="0" r:id="rId12">
            <anchor moveWithCells="1">
              <from>
                <xdr:col>5</xdr:col>
                <xdr:colOff>438150</xdr:colOff>
                <xdr:row>4</xdr:row>
                <xdr:rowOff>133350</xdr:rowOff>
              </from>
              <to>
                <xdr:col>7</xdr:col>
                <xdr:colOff>285750</xdr:colOff>
                <xdr:row>6</xdr:row>
                <xdr:rowOff>133350</xdr:rowOff>
              </to>
            </anchor>
          </controlPr>
        </control>
      </mc:Choice>
      <mc:Fallback>
        <control shapeId="14375" r:id="rId11" name="OptionButton12"/>
      </mc:Fallback>
    </mc:AlternateContent>
    <mc:AlternateContent xmlns:mc="http://schemas.openxmlformats.org/markup-compatibility/2006">
      <mc:Choice Requires="x14">
        <control shapeId="14374" r:id="rId13" name="OptionButton11">
          <controlPr defaultSize="0" autoLine="0" r:id="rId14">
            <anchor moveWithCells="1">
              <from>
                <xdr:col>4</xdr:col>
                <xdr:colOff>0</xdr:colOff>
                <xdr:row>4</xdr:row>
                <xdr:rowOff>133350</xdr:rowOff>
              </from>
              <to>
                <xdr:col>5</xdr:col>
                <xdr:colOff>419100</xdr:colOff>
                <xdr:row>6</xdr:row>
                <xdr:rowOff>133350</xdr:rowOff>
              </to>
            </anchor>
          </controlPr>
        </control>
      </mc:Choice>
      <mc:Fallback>
        <control shapeId="14374" r:id="rId13" name="OptionButton11"/>
      </mc:Fallback>
    </mc:AlternateContent>
    <mc:AlternateContent xmlns:mc="http://schemas.openxmlformats.org/markup-compatibility/2006">
      <mc:Choice Requires="x14">
        <control shapeId="14373" r:id="rId15" name="OptionButton10">
          <controlPr defaultSize="0" autoLine="0" r:id="rId16">
            <anchor moveWithCells="1">
              <from>
                <xdr:col>2</xdr:col>
                <xdr:colOff>342900</xdr:colOff>
                <xdr:row>4</xdr:row>
                <xdr:rowOff>123825</xdr:rowOff>
              </from>
              <to>
                <xdr:col>3</xdr:col>
                <xdr:colOff>762000</xdr:colOff>
                <xdr:row>6</xdr:row>
                <xdr:rowOff>123825</xdr:rowOff>
              </to>
            </anchor>
          </controlPr>
        </control>
      </mc:Choice>
      <mc:Fallback>
        <control shapeId="14373" r:id="rId15" name="OptionButton10"/>
      </mc:Fallback>
    </mc:AlternateContent>
    <mc:AlternateContent xmlns:mc="http://schemas.openxmlformats.org/markup-compatibility/2006">
      <mc:Choice Requires="x14">
        <control shapeId="14372" r:id="rId17" name="OptionButton9">
          <controlPr defaultSize="0" autoLine="0" r:id="rId18">
            <anchor moveWithCells="1">
              <from>
                <xdr:col>1</xdr:col>
                <xdr:colOff>38100</xdr:colOff>
                <xdr:row>4</xdr:row>
                <xdr:rowOff>123825</xdr:rowOff>
              </from>
              <to>
                <xdr:col>2</xdr:col>
                <xdr:colOff>257175</xdr:colOff>
                <xdr:row>6</xdr:row>
                <xdr:rowOff>123825</xdr:rowOff>
              </to>
            </anchor>
          </controlPr>
        </control>
      </mc:Choice>
      <mc:Fallback>
        <control shapeId="14372" r:id="rId17" name="OptionButton9"/>
      </mc:Fallback>
    </mc:AlternateContent>
    <mc:AlternateContent xmlns:mc="http://schemas.openxmlformats.org/markup-compatibility/2006">
      <mc:Choice Requires="x14">
        <control shapeId="14371" r:id="rId19" name="OptionButton8">
          <controlPr defaultSize="0" autoLine="0" r:id="rId20">
            <anchor moveWithCells="1">
              <from>
                <xdr:col>7</xdr:col>
                <xdr:colOff>333375</xdr:colOff>
                <xdr:row>2</xdr:row>
                <xdr:rowOff>104775</xdr:rowOff>
              </from>
              <to>
                <xdr:col>9</xdr:col>
                <xdr:colOff>180975</xdr:colOff>
                <xdr:row>4</xdr:row>
                <xdr:rowOff>104775</xdr:rowOff>
              </to>
            </anchor>
          </controlPr>
        </control>
      </mc:Choice>
      <mc:Fallback>
        <control shapeId="14371" r:id="rId19" name="OptionButton8"/>
      </mc:Fallback>
    </mc:AlternateContent>
    <mc:AlternateContent xmlns:mc="http://schemas.openxmlformats.org/markup-compatibility/2006">
      <mc:Choice Requires="x14">
        <control shapeId="14370" r:id="rId21" name="OptionButton7">
          <controlPr defaultSize="0" autoLine="0" r:id="rId22">
            <anchor moveWithCells="1">
              <from>
                <xdr:col>5</xdr:col>
                <xdr:colOff>438150</xdr:colOff>
                <xdr:row>2</xdr:row>
                <xdr:rowOff>95250</xdr:rowOff>
              </from>
              <to>
                <xdr:col>7</xdr:col>
                <xdr:colOff>285750</xdr:colOff>
                <xdr:row>4</xdr:row>
                <xdr:rowOff>95250</xdr:rowOff>
              </to>
            </anchor>
          </controlPr>
        </control>
      </mc:Choice>
      <mc:Fallback>
        <control shapeId="14370" r:id="rId21" name="OptionButton7"/>
      </mc:Fallback>
    </mc:AlternateContent>
    <mc:AlternateContent xmlns:mc="http://schemas.openxmlformats.org/markup-compatibility/2006">
      <mc:Choice Requires="x14">
        <control shapeId="14369" r:id="rId23" name="OptionButton6">
          <controlPr defaultSize="0" autoLine="0" r:id="rId24">
            <anchor moveWithCells="1">
              <from>
                <xdr:col>4</xdr:col>
                <xdr:colOff>0</xdr:colOff>
                <xdr:row>2</xdr:row>
                <xdr:rowOff>104775</xdr:rowOff>
              </from>
              <to>
                <xdr:col>5</xdr:col>
                <xdr:colOff>419100</xdr:colOff>
                <xdr:row>4</xdr:row>
                <xdr:rowOff>104775</xdr:rowOff>
              </to>
            </anchor>
          </controlPr>
        </control>
      </mc:Choice>
      <mc:Fallback>
        <control shapeId="14369" r:id="rId23" name="OptionButton6"/>
      </mc:Fallback>
    </mc:AlternateContent>
    <mc:AlternateContent xmlns:mc="http://schemas.openxmlformats.org/markup-compatibility/2006">
      <mc:Choice Requires="x14">
        <control shapeId="14368" r:id="rId25" name="OptionButton5">
          <controlPr defaultSize="0" autoLine="0" r:id="rId26">
            <anchor moveWithCells="1">
              <from>
                <xdr:col>2</xdr:col>
                <xdr:colOff>333375</xdr:colOff>
                <xdr:row>2</xdr:row>
                <xdr:rowOff>95250</xdr:rowOff>
              </from>
              <to>
                <xdr:col>3</xdr:col>
                <xdr:colOff>752475</xdr:colOff>
                <xdr:row>4</xdr:row>
                <xdr:rowOff>95250</xdr:rowOff>
              </to>
            </anchor>
          </controlPr>
        </control>
      </mc:Choice>
      <mc:Fallback>
        <control shapeId="14368" r:id="rId25" name="OptionButton5"/>
      </mc:Fallback>
    </mc:AlternateContent>
    <mc:AlternateContent xmlns:mc="http://schemas.openxmlformats.org/markup-compatibility/2006">
      <mc:Choice Requires="x14">
        <control shapeId="14367" r:id="rId27" name="OptionButton4">
          <controlPr defaultSize="0" autoLine="0" r:id="rId28">
            <anchor moveWithCells="1">
              <from>
                <xdr:col>1</xdr:col>
                <xdr:colOff>38100</xdr:colOff>
                <xdr:row>2</xdr:row>
                <xdr:rowOff>95250</xdr:rowOff>
              </from>
              <to>
                <xdr:col>2</xdr:col>
                <xdr:colOff>257175</xdr:colOff>
                <xdr:row>4</xdr:row>
                <xdr:rowOff>95250</xdr:rowOff>
              </to>
            </anchor>
          </controlPr>
        </control>
      </mc:Choice>
      <mc:Fallback>
        <control shapeId="14367" r:id="rId27" name="OptionButton4"/>
      </mc:Fallback>
    </mc:AlternateContent>
    <mc:AlternateContent xmlns:mc="http://schemas.openxmlformats.org/markup-compatibility/2006">
      <mc:Choice Requires="x14">
        <control shapeId="14366" r:id="rId29" name="OptionButton3">
          <controlPr defaultSize="0" autoLine="0" r:id="rId30">
            <anchor moveWithCells="1">
              <from>
                <xdr:col>4</xdr:col>
                <xdr:colOff>19050</xdr:colOff>
                <xdr:row>0</xdr:row>
                <xdr:rowOff>0</xdr:rowOff>
              </from>
              <to>
                <xdr:col>5</xdr:col>
                <xdr:colOff>171450</xdr:colOff>
                <xdr:row>2</xdr:row>
                <xdr:rowOff>9525</xdr:rowOff>
              </to>
            </anchor>
          </controlPr>
        </control>
      </mc:Choice>
      <mc:Fallback>
        <control shapeId="14366" r:id="rId29" name="OptionButton3"/>
      </mc:Fallback>
    </mc:AlternateContent>
    <mc:AlternateContent xmlns:mc="http://schemas.openxmlformats.org/markup-compatibility/2006">
      <mc:Choice Requires="x14">
        <control shapeId="14365" r:id="rId31" name="OptionButton2">
          <controlPr defaultSize="0" autoLine="0" r:id="rId32">
            <anchor moveWithCells="1">
              <from>
                <xdr:col>2</xdr:col>
                <xdr:colOff>333375</xdr:colOff>
                <xdr:row>0</xdr:row>
                <xdr:rowOff>19050</xdr:rowOff>
              </from>
              <to>
                <xdr:col>3</xdr:col>
                <xdr:colOff>485775</xdr:colOff>
                <xdr:row>2</xdr:row>
                <xdr:rowOff>28575</xdr:rowOff>
              </to>
            </anchor>
          </controlPr>
        </control>
      </mc:Choice>
      <mc:Fallback>
        <control shapeId="14365" r:id="rId31" name="OptionButton2"/>
      </mc:Fallback>
    </mc:AlternateContent>
    <mc:AlternateContent xmlns:mc="http://schemas.openxmlformats.org/markup-compatibility/2006">
      <mc:Choice Requires="x14">
        <control shapeId="14364" r:id="rId33" name="OptionButton1">
          <controlPr defaultSize="0" autoLine="0" r:id="rId34">
            <anchor moveWithCells="1">
              <from>
                <xdr:col>1</xdr:col>
                <xdr:colOff>47625</xdr:colOff>
                <xdr:row>0</xdr:row>
                <xdr:rowOff>9525</xdr:rowOff>
              </from>
              <to>
                <xdr:col>1</xdr:col>
                <xdr:colOff>685800</xdr:colOff>
                <xdr:row>2</xdr:row>
                <xdr:rowOff>19050</xdr:rowOff>
              </to>
            </anchor>
          </controlPr>
        </control>
      </mc:Choice>
      <mc:Fallback>
        <control shapeId="14364" r:id="rId33" name="OptionButton1"/>
      </mc:Fallback>
    </mc:AlternateContent>
    <mc:AlternateContent xmlns:mc="http://schemas.openxmlformats.org/markup-compatibility/2006">
      <mc:Choice Requires="x14">
        <control shapeId="14363" r:id="rId35" name="CommandButton1">
          <controlPr defaultSize="0" autoLine="0" r:id="rId36">
            <anchor moveWithCells="1">
              <from>
                <xdr:col>10</xdr:col>
                <xdr:colOff>28575</xdr:colOff>
                <xdr:row>2</xdr:row>
                <xdr:rowOff>66675</xdr:rowOff>
              </from>
              <to>
                <xdr:col>11</xdr:col>
                <xdr:colOff>304800</xdr:colOff>
                <xdr:row>4</xdr:row>
                <xdr:rowOff>152400</xdr:rowOff>
              </to>
            </anchor>
          </controlPr>
        </control>
      </mc:Choice>
      <mc:Fallback>
        <control shapeId="14363" r:id="rId3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37"/>
  <sheetViews>
    <sheetView topLeftCell="A88" workbookViewId="0">
      <selection activeCell="D132" sqref="D132"/>
    </sheetView>
  </sheetViews>
  <sheetFormatPr defaultRowHeight="13.5" x14ac:dyDescent="0.15"/>
  <cols>
    <col min="8" max="8" width="15.5" customWidth="1"/>
  </cols>
  <sheetData>
    <row r="1" spans="1:11" x14ac:dyDescent="0.15">
      <c r="A1" s="3" t="s">
        <v>3</v>
      </c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x14ac:dyDescent="0.15">
      <c r="A2" s="4" t="s">
        <v>4</v>
      </c>
      <c r="B2" s="5" t="s">
        <v>5</v>
      </c>
      <c r="C2" s="5" t="s">
        <v>6</v>
      </c>
      <c r="D2" s="5" t="s">
        <v>7</v>
      </c>
      <c r="E2" s="5" t="s">
        <v>8</v>
      </c>
      <c r="F2" s="5" t="s">
        <v>9</v>
      </c>
      <c r="G2" s="5" t="s">
        <v>10</v>
      </c>
      <c r="H2" s="5" t="s">
        <v>11</v>
      </c>
      <c r="I2" s="5" t="s">
        <v>12</v>
      </c>
      <c r="J2" s="3"/>
      <c r="K2" s="3"/>
    </row>
    <row r="3" spans="1:11" x14ac:dyDescent="0.15">
      <c r="A3" s="6">
        <v>1</v>
      </c>
      <c r="B3" s="7" t="s">
        <v>13</v>
      </c>
      <c r="C3" s="7">
        <v>3</v>
      </c>
      <c r="D3" s="8">
        <v>1</v>
      </c>
      <c r="E3" s="7" t="s">
        <v>14</v>
      </c>
      <c r="F3" s="7"/>
      <c r="G3" s="7"/>
      <c r="H3" s="7" t="s">
        <v>15</v>
      </c>
      <c r="I3" s="7"/>
      <c r="J3" s="3"/>
      <c r="K3" s="3"/>
    </row>
    <row r="4" spans="1:11" x14ac:dyDescent="0.15">
      <c r="A4" s="6">
        <v>2</v>
      </c>
      <c r="B4" s="7" t="s">
        <v>13</v>
      </c>
      <c r="C4" s="7">
        <v>6</v>
      </c>
      <c r="D4" s="8">
        <v>0</v>
      </c>
      <c r="E4" s="7" t="s">
        <v>14</v>
      </c>
      <c r="F4" s="7"/>
      <c r="G4" s="7"/>
      <c r="H4" s="7" t="s">
        <v>16</v>
      </c>
      <c r="I4" s="7"/>
      <c r="J4" s="3"/>
      <c r="K4" s="3"/>
    </row>
    <row r="5" spans="1:11" x14ac:dyDescent="0.15">
      <c r="A5" s="6">
        <v>3</v>
      </c>
      <c r="B5" s="7" t="s">
        <v>13</v>
      </c>
      <c r="C5" s="7">
        <v>8</v>
      </c>
      <c r="D5" s="8">
        <v>0</v>
      </c>
      <c r="E5" s="7" t="s">
        <v>14</v>
      </c>
      <c r="F5" s="7"/>
      <c r="G5" s="7"/>
      <c r="H5" s="7" t="s">
        <v>17</v>
      </c>
      <c r="I5" s="7"/>
      <c r="J5" s="3"/>
      <c r="K5" s="3"/>
    </row>
    <row r="6" spans="1:11" x14ac:dyDescent="0.15">
      <c r="A6" s="6">
        <v>4</v>
      </c>
      <c r="B6" s="7" t="s">
        <v>13</v>
      </c>
      <c r="C6" s="7">
        <v>16</v>
      </c>
      <c r="D6" s="8">
        <v>5</v>
      </c>
      <c r="E6" s="7" t="s">
        <v>14</v>
      </c>
      <c r="F6" s="7"/>
      <c r="G6" s="7"/>
      <c r="H6" s="7" t="s">
        <v>18</v>
      </c>
      <c r="I6" s="7"/>
      <c r="J6" s="3"/>
      <c r="K6" s="3"/>
    </row>
    <row r="7" spans="1:11" x14ac:dyDescent="0.15">
      <c r="A7" s="6">
        <v>5</v>
      </c>
      <c r="B7" s="7" t="s">
        <v>13</v>
      </c>
      <c r="C7" s="7">
        <v>18</v>
      </c>
      <c r="D7" s="8">
        <v>5</v>
      </c>
      <c r="E7" s="7" t="s">
        <v>14</v>
      </c>
      <c r="F7" s="7"/>
      <c r="G7" s="7"/>
      <c r="H7" s="7" t="s">
        <v>19</v>
      </c>
      <c r="I7" s="7"/>
      <c r="J7" s="3"/>
      <c r="K7" s="3"/>
    </row>
    <row r="8" spans="1:11" x14ac:dyDescent="0.15">
      <c r="A8" s="6">
        <v>6</v>
      </c>
      <c r="B8" s="7" t="s">
        <v>13</v>
      </c>
      <c r="C8" s="7">
        <v>20</v>
      </c>
      <c r="D8" s="8">
        <v>5</v>
      </c>
      <c r="E8" s="7" t="s">
        <v>14</v>
      </c>
      <c r="F8" s="7"/>
      <c r="G8" s="7"/>
      <c r="H8" s="7" t="s">
        <v>279</v>
      </c>
      <c r="I8" s="325" t="s">
        <v>351</v>
      </c>
    </row>
    <row r="9" spans="1:11" x14ac:dyDescent="0.15">
      <c r="A9" s="6">
        <v>7</v>
      </c>
      <c r="B9" s="7" t="s">
        <v>13</v>
      </c>
      <c r="C9" s="7">
        <v>8</v>
      </c>
      <c r="D9" s="8">
        <v>12</v>
      </c>
      <c r="E9" s="7" t="s">
        <v>14</v>
      </c>
      <c r="F9" s="7"/>
      <c r="G9" s="7"/>
      <c r="H9" s="7" t="s">
        <v>20</v>
      </c>
      <c r="I9" s="7" t="s">
        <v>352</v>
      </c>
    </row>
    <row r="10" spans="1:11" x14ac:dyDescent="0.15">
      <c r="A10" s="6">
        <v>8</v>
      </c>
      <c r="B10" s="7" t="s">
        <v>13</v>
      </c>
      <c r="C10" s="7">
        <v>11</v>
      </c>
      <c r="D10" s="8">
        <v>12</v>
      </c>
      <c r="E10" s="7" t="s">
        <v>14</v>
      </c>
      <c r="F10" s="7"/>
      <c r="G10" s="7"/>
      <c r="H10" s="7" t="s">
        <v>21</v>
      </c>
      <c r="I10" s="7" t="s">
        <v>352</v>
      </c>
    </row>
    <row r="11" spans="1:11" x14ac:dyDescent="0.15">
      <c r="A11" s="6">
        <v>9</v>
      </c>
      <c r="B11" s="7" t="s">
        <v>13</v>
      </c>
      <c r="C11" s="7">
        <v>14</v>
      </c>
      <c r="D11" s="8">
        <v>12</v>
      </c>
      <c r="E11" s="7" t="s">
        <v>14</v>
      </c>
      <c r="F11" s="7"/>
      <c r="G11" s="7"/>
      <c r="H11" s="7" t="s">
        <v>22</v>
      </c>
      <c r="I11" s="7" t="s">
        <v>352</v>
      </c>
    </row>
    <row r="12" spans="1:11" x14ac:dyDescent="0.15">
      <c r="A12" s="6">
        <v>10</v>
      </c>
      <c r="B12" s="7" t="s">
        <v>13</v>
      </c>
      <c r="C12" s="7">
        <v>2</v>
      </c>
      <c r="D12" s="8">
        <v>15</v>
      </c>
      <c r="E12" s="7" t="s">
        <v>23</v>
      </c>
      <c r="F12" s="7" t="s">
        <v>24</v>
      </c>
      <c r="G12" s="7">
        <v>98</v>
      </c>
      <c r="H12" s="7" t="s">
        <v>25</v>
      </c>
      <c r="I12" s="7"/>
      <c r="J12" s="3"/>
      <c r="K12" s="3"/>
    </row>
    <row r="13" spans="1:11" x14ac:dyDescent="0.15">
      <c r="A13" s="6">
        <v>11</v>
      </c>
      <c r="B13" s="7" t="s">
        <v>13</v>
      </c>
      <c r="C13" s="7">
        <v>3</v>
      </c>
      <c r="D13" s="8">
        <v>15</v>
      </c>
      <c r="E13" s="7" t="s">
        <v>23</v>
      </c>
      <c r="F13" s="7" t="s">
        <v>24</v>
      </c>
      <c r="G13" s="7">
        <v>98</v>
      </c>
      <c r="H13" s="7" t="s">
        <v>26</v>
      </c>
      <c r="I13" s="7"/>
      <c r="J13" s="3"/>
      <c r="K13" s="3"/>
    </row>
    <row r="14" spans="1:11" x14ac:dyDescent="0.15">
      <c r="A14" s="6">
        <v>12</v>
      </c>
      <c r="B14" s="7" t="s">
        <v>13</v>
      </c>
      <c r="C14" s="7">
        <v>4</v>
      </c>
      <c r="D14" s="8">
        <v>15</v>
      </c>
      <c r="E14" s="7" t="s">
        <v>23</v>
      </c>
      <c r="F14" s="7" t="s">
        <v>24</v>
      </c>
      <c r="G14" s="7">
        <v>98</v>
      </c>
      <c r="H14" s="7" t="s">
        <v>27</v>
      </c>
      <c r="I14" s="7"/>
      <c r="J14" s="3"/>
      <c r="K14" s="3"/>
    </row>
    <row r="15" spans="1:11" x14ac:dyDescent="0.15">
      <c r="A15" s="6">
        <v>13</v>
      </c>
      <c r="B15" s="7" t="s">
        <v>13</v>
      </c>
      <c r="C15" s="7">
        <v>5</v>
      </c>
      <c r="D15" s="8">
        <v>15</v>
      </c>
      <c r="E15" s="7" t="s">
        <v>23</v>
      </c>
      <c r="F15" s="7" t="s">
        <v>24</v>
      </c>
      <c r="G15" s="7">
        <v>98</v>
      </c>
      <c r="H15" s="7" t="s">
        <v>28</v>
      </c>
      <c r="I15" s="7"/>
      <c r="J15" s="3"/>
      <c r="K15" s="3"/>
    </row>
    <row r="16" spans="1:11" x14ac:dyDescent="0.15">
      <c r="A16" s="6">
        <v>14</v>
      </c>
      <c r="B16" s="7" t="s">
        <v>13</v>
      </c>
      <c r="C16" s="7">
        <v>6</v>
      </c>
      <c r="D16" s="8">
        <v>15</v>
      </c>
      <c r="E16" s="7" t="s">
        <v>23</v>
      </c>
      <c r="F16" s="7" t="s">
        <v>24</v>
      </c>
      <c r="G16" s="7">
        <v>98</v>
      </c>
      <c r="H16" s="7" t="s">
        <v>29</v>
      </c>
      <c r="I16" s="7"/>
      <c r="J16" s="3"/>
      <c r="K16" s="3"/>
    </row>
    <row r="17" spans="1:11" x14ac:dyDescent="0.15">
      <c r="A17" s="6">
        <v>15</v>
      </c>
      <c r="B17" s="7" t="s">
        <v>13</v>
      </c>
      <c r="C17" s="7">
        <v>7</v>
      </c>
      <c r="D17" s="8">
        <v>15</v>
      </c>
      <c r="E17" s="7" t="s">
        <v>23</v>
      </c>
      <c r="F17" s="7" t="s">
        <v>24</v>
      </c>
      <c r="G17" s="7">
        <v>98</v>
      </c>
      <c r="H17" s="7" t="s">
        <v>30</v>
      </c>
      <c r="I17" s="7"/>
      <c r="J17" s="3"/>
      <c r="K17" s="3"/>
    </row>
    <row r="18" spans="1:11" x14ac:dyDescent="0.15">
      <c r="A18" s="6">
        <v>16</v>
      </c>
      <c r="B18" s="7" t="s">
        <v>13</v>
      </c>
      <c r="C18" s="7">
        <v>10</v>
      </c>
      <c r="D18" s="8">
        <v>15</v>
      </c>
      <c r="E18" s="7" t="s">
        <v>23</v>
      </c>
      <c r="F18" s="7" t="s">
        <v>24</v>
      </c>
      <c r="G18" s="7">
        <v>98</v>
      </c>
      <c r="H18" s="7" t="s">
        <v>31</v>
      </c>
      <c r="I18" s="7"/>
      <c r="J18" s="3"/>
      <c r="K18" s="3"/>
    </row>
    <row r="19" spans="1:11" x14ac:dyDescent="0.15">
      <c r="A19" s="6">
        <v>17</v>
      </c>
      <c r="B19" s="7" t="s">
        <v>13</v>
      </c>
      <c r="C19" s="7">
        <v>13</v>
      </c>
      <c r="D19" s="8">
        <v>15</v>
      </c>
      <c r="E19" s="7" t="s">
        <v>23</v>
      </c>
      <c r="F19" s="7" t="s">
        <v>24</v>
      </c>
      <c r="G19" s="7">
        <v>98</v>
      </c>
      <c r="H19" s="7" t="s">
        <v>32</v>
      </c>
      <c r="I19" s="7"/>
      <c r="J19" s="3"/>
      <c r="K19" s="3"/>
    </row>
    <row r="20" spans="1:11" x14ac:dyDescent="0.15">
      <c r="A20" s="6">
        <v>18</v>
      </c>
      <c r="B20" s="7" t="s">
        <v>13</v>
      </c>
      <c r="C20" s="7">
        <v>2</v>
      </c>
      <c r="D20" s="8">
        <v>115</v>
      </c>
      <c r="E20" s="7" t="s">
        <v>23</v>
      </c>
      <c r="F20" s="7" t="s">
        <v>24</v>
      </c>
      <c r="G20" s="7">
        <v>29</v>
      </c>
      <c r="H20" s="7" t="s">
        <v>33</v>
      </c>
      <c r="I20" s="7"/>
      <c r="J20" s="3"/>
      <c r="K20" s="3"/>
    </row>
    <row r="21" spans="1:11" x14ac:dyDescent="0.15">
      <c r="A21" s="6">
        <v>19</v>
      </c>
      <c r="B21" s="7" t="s">
        <v>13</v>
      </c>
      <c r="C21" s="7">
        <v>3</v>
      </c>
      <c r="D21" s="8">
        <v>115</v>
      </c>
      <c r="E21" s="7" t="s">
        <v>23</v>
      </c>
      <c r="F21" s="7" t="s">
        <v>24</v>
      </c>
      <c r="G21" s="7">
        <v>29</v>
      </c>
      <c r="H21" s="7" t="s">
        <v>34</v>
      </c>
      <c r="I21" s="7"/>
      <c r="J21" s="3"/>
      <c r="K21" s="3"/>
    </row>
    <row r="22" spans="1:11" x14ac:dyDescent="0.15">
      <c r="A22" s="6">
        <v>20</v>
      </c>
      <c r="B22" s="7" t="s">
        <v>13</v>
      </c>
      <c r="C22" s="7">
        <v>4</v>
      </c>
      <c r="D22" s="8">
        <v>115</v>
      </c>
      <c r="E22" s="7" t="s">
        <v>23</v>
      </c>
      <c r="F22" s="7" t="s">
        <v>24</v>
      </c>
      <c r="G22" s="7">
        <v>29</v>
      </c>
      <c r="H22" s="7" t="s">
        <v>35</v>
      </c>
      <c r="I22" s="7"/>
      <c r="J22" s="3"/>
      <c r="K22" s="3"/>
    </row>
    <row r="23" spans="1:11" x14ac:dyDescent="0.15">
      <c r="A23" s="6">
        <v>21</v>
      </c>
      <c r="B23" s="7" t="s">
        <v>13</v>
      </c>
      <c r="C23" s="7">
        <v>5</v>
      </c>
      <c r="D23" s="8">
        <v>115</v>
      </c>
      <c r="E23" s="7" t="s">
        <v>23</v>
      </c>
      <c r="F23" s="7" t="s">
        <v>24</v>
      </c>
      <c r="G23" s="7">
        <v>29</v>
      </c>
      <c r="H23" s="7" t="s">
        <v>36</v>
      </c>
      <c r="I23" s="7"/>
      <c r="J23" s="3"/>
      <c r="K23" s="3"/>
    </row>
    <row r="24" spans="1:11" x14ac:dyDescent="0.15">
      <c r="A24" s="6">
        <v>22</v>
      </c>
      <c r="B24" s="7" t="s">
        <v>13</v>
      </c>
      <c r="C24" s="7">
        <v>6</v>
      </c>
      <c r="D24" s="8">
        <v>115</v>
      </c>
      <c r="E24" s="7" t="s">
        <v>23</v>
      </c>
      <c r="F24" s="7" t="s">
        <v>24</v>
      </c>
      <c r="G24" s="7">
        <v>29</v>
      </c>
      <c r="H24" s="7" t="s">
        <v>37</v>
      </c>
      <c r="I24" s="7"/>
      <c r="J24" s="3"/>
      <c r="K24" s="3"/>
    </row>
    <row r="25" spans="1:11" x14ac:dyDescent="0.15">
      <c r="A25" s="6">
        <v>23</v>
      </c>
      <c r="B25" s="7" t="s">
        <v>13</v>
      </c>
      <c r="C25" s="7">
        <v>7</v>
      </c>
      <c r="D25" s="8">
        <v>115</v>
      </c>
      <c r="E25" s="7" t="s">
        <v>23</v>
      </c>
      <c r="F25" s="7" t="s">
        <v>24</v>
      </c>
      <c r="G25" s="7">
        <v>29</v>
      </c>
      <c r="H25" s="7" t="s">
        <v>38</v>
      </c>
      <c r="I25" s="7"/>
      <c r="J25" s="3"/>
      <c r="K25" s="3"/>
    </row>
    <row r="26" spans="1:11" x14ac:dyDescent="0.15">
      <c r="A26" s="6">
        <v>24</v>
      </c>
      <c r="B26" s="7" t="s">
        <v>13</v>
      </c>
      <c r="C26" s="7">
        <v>10</v>
      </c>
      <c r="D26" s="8">
        <v>115</v>
      </c>
      <c r="E26" s="7" t="s">
        <v>23</v>
      </c>
      <c r="F26" s="7" t="s">
        <v>24</v>
      </c>
      <c r="G26" s="7">
        <v>29</v>
      </c>
      <c r="H26" s="7" t="s">
        <v>39</v>
      </c>
      <c r="I26" s="7"/>
      <c r="J26" s="3"/>
      <c r="K26" s="3"/>
    </row>
    <row r="27" spans="1:11" x14ac:dyDescent="0.15">
      <c r="A27" s="6">
        <v>25</v>
      </c>
      <c r="B27" s="7" t="s">
        <v>13</v>
      </c>
      <c r="C27" s="7">
        <v>13</v>
      </c>
      <c r="D27" s="8">
        <v>115</v>
      </c>
      <c r="E27" s="7" t="s">
        <v>23</v>
      </c>
      <c r="F27" s="7" t="s">
        <v>24</v>
      </c>
      <c r="G27" s="7">
        <v>29</v>
      </c>
      <c r="H27" s="7" t="s">
        <v>40</v>
      </c>
      <c r="I27" s="7"/>
      <c r="J27" s="3"/>
      <c r="K27" s="3"/>
    </row>
    <row r="28" spans="1:11" x14ac:dyDescent="0.15">
      <c r="A28" s="6">
        <v>26</v>
      </c>
      <c r="B28" s="7" t="s">
        <v>13</v>
      </c>
      <c r="C28" s="7">
        <v>18</v>
      </c>
      <c r="D28" s="8">
        <v>14</v>
      </c>
      <c r="E28" s="7" t="s">
        <v>14</v>
      </c>
      <c r="F28" s="7"/>
      <c r="G28" s="7"/>
      <c r="H28" s="326" t="s">
        <v>353</v>
      </c>
      <c r="I28" s="325"/>
    </row>
    <row r="29" spans="1:11" x14ac:dyDescent="0.15">
      <c r="A29" s="6">
        <v>27</v>
      </c>
      <c r="B29" s="7" t="s">
        <v>13</v>
      </c>
      <c r="C29" s="7">
        <v>18</v>
      </c>
      <c r="D29" s="8">
        <v>15</v>
      </c>
      <c r="E29" s="7" t="s">
        <v>14</v>
      </c>
      <c r="F29" s="7"/>
      <c r="G29" s="7"/>
      <c r="H29" s="326" t="s">
        <v>354</v>
      </c>
      <c r="I29" s="325"/>
    </row>
    <row r="30" spans="1:11" x14ac:dyDescent="0.15">
      <c r="A30" s="6">
        <v>28</v>
      </c>
      <c r="B30" s="7" t="s">
        <v>13</v>
      </c>
      <c r="C30" s="7">
        <v>18</v>
      </c>
      <c r="D30" s="8">
        <v>16</v>
      </c>
      <c r="E30" s="7" t="s">
        <v>14</v>
      </c>
      <c r="F30" s="7"/>
      <c r="G30" s="7"/>
      <c r="H30" s="326" t="s">
        <v>355</v>
      </c>
      <c r="I30" s="325"/>
    </row>
    <row r="31" spans="1:11" x14ac:dyDescent="0.15">
      <c r="A31" s="6">
        <v>29</v>
      </c>
      <c r="B31" s="7" t="s">
        <v>13</v>
      </c>
      <c r="C31" s="7">
        <v>20</v>
      </c>
      <c r="D31" s="8">
        <v>14</v>
      </c>
      <c r="E31" s="7" t="s">
        <v>14</v>
      </c>
      <c r="F31" s="7"/>
      <c r="G31" s="7"/>
      <c r="H31" s="326" t="s">
        <v>356</v>
      </c>
      <c r="I31" s="325"/>
    </row>
    <row r="32" spans="1:11" x14ac:dyDescent="0.15">
      <c r="A32" s="6">
        <v>30</v>
      </c>
      <c r="B32" s="7" t="s">
        <v>13</v>
      </c>
      <c r="C32" s="7">
        <v>20</v>
      </c>
      <c r="D32" s="8">
        <v>15</v>
      </c>
      <c r="E32" s="7" t="s">
        <v>14</v>
      </c>
      <c r="F32" s="7"/>
      <c r="G32" s="7"/>
      <c r="H32" s="326" t="s">
        <v>357</v>
      </c>
      <c r="I32" s="325"/>
    </row>
    <row r="33" spans="1:9" x14ac:dyDescent="0.15">
      <c r="A33" s="6">
        <v>31</v>
      </c>
      <c r="B33" s="7" t="s">
        <v>13</v>
      </c>
      <c r="C33" s="7">
        <v>20</v>
      </c>
      <c r="D33" s="8">
        <v>16</v>
      </c>
      <c r="E33" s="7" t="s">
        <v>14</v>
      </c>
      <c r="F33" s="7"/>
      <c r="G33" s="7"/>
      <c r="H33" s="326" t="s">
        <v>358</v>
      </c>
      <c r="I33" s="325"/>
    </row>
    <row r="34" spans="1:9" x14ac:dyDescent="0.15">
      <c r="A34" s="6">
        <v>32</v>
      </c>
      <c r="B34" s="7" t="s">
        <v>13</v>
      </c>
      <c r="C34" s="7">
        <v>22</v>
      </c>
      <c r="D34" s="8">
        <v>14</v>
      </c>
      <c r="E34" s="7" t="s">
        <v>14</v>
      </c>
      <c r="F34" s="7"/>
      <c r="G34" s="7"/>
      <c r="H34" s="326" t="s">
        <v>359</v>
      </c>
      <c r="I34" s="325"/>
    </row>
    <row r="35" spans="1:9" x14ac:dyDescent="0.15">
      <c r="A35" s="6">
        <v>33</v>
      </c>
      <c r="B35" s="7" t="s">
        <v>13</v>
      </c>
      <c r="C35" s="7">
        <v>22</v>
      </c>
      <c r="D35" s="8">
        <v>15</v>
      </c>
      <c r="E35" s="7" t="s">
        <v>14</v>
      </c>
      <c r="F35" s="7"/>
      <c r="G35" s="7"/>
      <c r="H35" s="326" t="s">
        <v>360</v>
      </c>
      <c r="I35" s="325"/>
    </row>
    <row r="36" spans="1:9" x14ac:dyDescent="0.15">
      <c r="A36" s="6">
        <v>34</v>
      </c>
      <c r="B36" s="7" t="s">
        <v>13</v>
      </c>
      <c r="C36" s="7">
        <v>22</v>
      </c>
      <c r="D36" s="8">
        <v>16</v>
      </c>
      <c r="E36" s="7" t="s">
        <v>14</v>
      </c>
      <c r="F36" s="7"/>
      <c r="G36" s="7"/>
      <c r="H36" s="326" t="s">
        <v>361</v>
      </c>
      <c r="I36" s="325"/>
    </row>
    <row r="37" spans="1:9" x14ac:dyDescent="0.15">
      <c r="A37" s="6">
        <v>35</v>
      </c>
      <c r="B37" s="7" t="s">
        <v>13</v>
      </c>
      <c r="C37" s="7">
        <v>18</v>
      </c>
      <c r="D37" s="8">
        <v>116</v>
      </c>
      <c r="E37" s="7" t="s">
        <v>14</v>
      </c>
      <c r="F37" s="7"/>
      <c r="G37" s="7"/>
      <c r="H37" s="326" t="s">
        <v>285</v>
      </c>
      <c r="I37" s="325"/>
    </row>
    <row r="38" spans="1:9" x14ac:dyDescent="0.15">
      <c r="A38" s="6">
        <v>36</v>
      </c>
      <c r="B38" s="7" t="s">
        <v>13</v>
      </c>
      <c r="C38" s="7">
        <v>18</v>
      </c>
      <c r="D38" s="8">
        <v>152</v>
      </c>
      <c r="E38" s="7" t="s">
        <v>14</v>
      </c>
      <c r="F38" s="7"/>
      <c r="G38" s="7"/>
      <c r="H38" s="326" t="s">
        <v>362</v>
      </c>
      <c r="I38" s="325"/>
    </row>
    <row r="39" spans="1:9" x14ac:dyDescent="0.15">
      <c r="A39" s="6">
        <v>37</v>
      </c>
      <c r="B39" s="7" t="s">
        <v>13</v>
      </c>
      <c r="C39" s="7">
        <v>4</v>
      </c>
      <c r="D39" s="8">
        <v>151</v>
      </c>
      <c r="E39" s="7" t="s">
        <v>14</v>
      </c>
      <c r="F39" s="7"/>
      <c r="G39" s="7"/>
      <c r="H39" s="326" t="s">
        <v>363</v>
      </c>
      <c r="I39" s="325" t="s">
        <v>364</v>
      </c>
    </row>
    <row r="40" spans="1:9" x14ac:dyDescent="0.15">
      <c r="A40" s="6">
        <v>38</v>
      </c>
      <c r="B40" s="7" t="s">
        <v>13</v>
      </c>
      <c r="C40" s="7">
        <v>4</v>
      </c>
      <c r="D40" s="8">
        <v>152</v>
      </c>
      <c r="E40" s="7" t="s">
        <v>14</v>
      </c>
      <c r="F40" s="7"/>
      <c r="G40" s="7"/>
      <c r="H40" s="7" t="s">
        <v>1</v>
      </c>
      <c r="I40" s="7" t="s">
        <v>365</v>
      </c>
    </row>
    <row r="41" spans="1:9" x14ac:dyDescent="0.15">
      <c r="A41" s="6">
        <v>39</v>
      </c>
      <c r="B41" s="7" t="s">
        <v>13</v>
      </c>
      <c r="C41" s="7">
        <v>4</v>
      </c>
      <c r="D41" s="8">
        <v>153</v>
      </c>
      <c r="E41" s="7" t="s">
        <v>14</v>
      </c>
      <c r="F41" s="7"/>
      <c r="G41" s="7"/>
      <c r="H41" s="7" t="s">
        <v>2</v>
      </c>
      <c r="I41" s="7"/>
    </row>
    <row r="42" spans="1:9" x14ac:dyDescent="0.15">
      <c r="A42" s="6">
        <v>40</v>
      </c>
      <c r="B42" s="7" t="s">
        <v>13</v>
      </c>
      <c r="C42" s="7">
        <v>4</v>
      </c>
      <c r="D42" s="8">
        <v>154</v>
      </c>
      <c r="E42" s="7" t="s">
        <v>14</v>
      </c>
      <c r="F42" s="7"/>
      <c r="G42" s="7"/>
      <c r="H42" s="7" t="s">
        <v>41</v>
      </c>
      <c r="I42" s="7"/>
    </row>
    <row r="43" spans="1:9" x14ac:dyDescent="0.15">
      <c r="A43" s="6">
        <v>41</v>
      </c>
      <c r="B43" s="7" t="s">
        <v>13</v>
      </c>
      <c r="C43" s="7">
        <v>4</v>
      </c>
      <c r="D43" s="8">
        <v>155</v>
      </c>
      <c r="E43" s="7" t="s">
        <v>14</v>
      </c>
      <c r="F43" s="7"/>
      <c r="G43" s="7"/>
      <c r="H43" s="7" t="s">
        <v>42</v>
      </c>
      <c r="I43" s="7"/>
    </row>
    <row r="44" spans="1:9" x14ac:dyDescent="0.15">
      <c r="A44" s="6">
        <v>42</v>
      </c>
      <c r="B44" s="7" t="s">
        <v>13</v>
      </c>
      <c r="C44" s="7">
        <v>4</v>
      </c>
      <c r="D44" s="8">
        <v>156</v>
      </c>
      <c r="E44" s="7" t="s">
        <v>14</v>
      </c>
      <c r="F44" s="7"/>
      <c r="G44" s="7"/>
      <c r="H44" s="7" t="s">
        <v>43</v>
      </c>
      <c r="I44" s="7"/>
    </row>
    <row r="45" spans="1:9" x14ac:dyDescent="0.15">
      <c r="A45" s="6">
        <v>43</v>
      </c>
      <c r="B45" s="7" t="s">
        <v>13</v>
      </c>
      <c r="C45" s="7">
        <v>4</v>
      </c>
      <c r="D45" s="8">
        <v>157</v>
      </c>
      <c r="E45" s="7" t="s">
        <v>14</v>
      </c>
      <c r="F45" s="7"/>
      <c r="G45" s="7"/>
      <c r="H45" s="7" t="s">
        <v>44</v>
      </c>
      <c r="I45" s="7"/>
    </row>
    <row r="46" spans="1:9" x14ac:dyDescent="0.15">
      <c r="A46" s="6">
        <v>44</v>
      </c>
      <c r="B46" s="7" t="s">
        <v>13</v>
      </c>
      <c r="C46" s="7">
        <v>4</v>
      </c>
      <c r="D46" s="8">
        <v>158</v>
      </c>
      <c r="E46" s="7" t="s">
        <v>14</v>
      </c>
      <c r="F46" s="7"/>
      <c r="G46" s="7"/>
      <c r="H46" s="7" t="s">
        <v>45</v>
      </c>
      <c r="I46" s="7"/>
    </row>
    <row r="47" spans="1:9" x14ac:dyDescent="0.15">
      <c r="A47" s="6">
        <v>45</v>
      </c>
      <c r="B47" s="7" t="s">
        <v>13</v>
      </c>
      <c r="C47" s="7">
        <v>4</v>
      </c>
      <c r="D47" s="8">
        <v>159</v>
      </c>
      <c r="E47" s="7" t="s">
        <v>14</v>
      </c>
      <c r="F47" s="7"/>
      <c r="G47" s="7"/>
      <c r="H47" s="7" t="s">
        <v>46</v>
      </c>
      <c r="I47" s="7"/>
    </row>
    <row r="48" spans="1:9" x14ac:dyDescent="0.15">
      <c r="A48" s="6">
        <v>46</v>
      </c>
      <c r="B48" s="7" t="s">
        <v>13</v>
      </c>
      <c r="C48" s="7">
        <v>4</v>
      </c>
      <c r="D48" s="8">
        <v>160</v>
      </c>
      <c r="E48" s="7" t="s">
        <v>14</v>
      </c>
      <c r="F48" s="7"/>
      <c r="G48" s="7"/>
      <c r="H48" s="7" t="s">
        <v>47</v>
      </c>
      <c r="I48" s="7"/>
    </row>
    <row r="49" spans="1:11" x14ac:dyDescent="0.15">
      <c r="A49" s="6">
        <v>47</v>
      </c>
      <c r="B49" s="7" t="s">
        <v>13</v>
      </c>
      <c r="C49" s="7">
        <v>8</v>
      </c>
      <c r="D49" s="8">
        <v>152</v>
      </c>
      <c r="E49" s="7" t="s">
        <v>14</v>
      </c>
      <c r="F49" s="7"/>
      <c r="G49" s="7"/>
      <c r="H49" s="7" t="s">
        <v>48</v>
      </c>
      <c r="I49" s="7"/>
      <c r="J49" s="3"/>
      <c r="K49" s="3"/>
    </row>
    <row r="50" spans="1:11" x14ac:dyDescent="0.15">
      <c r="A50" s="6">
        <v>48</v>
      </c>
      <c r="B50" s="7" t="s">
        <v>13</v>
      </c>
      <c r="C50" s="7">
        <v>8</v>
      </c>
      <c r="D50" s="8">
        <v>153</v>
      </c>
      <c r="E50" s="7" t="s">
        <v>14</v>
      </c>
      <c r="F50" s="7"/>
      <c r="G50" s="7"/>
      <c r="H50" s="7" t="s">
        <v>49</v>
      </c>
      <c r="I50" s="7"/>
      <c r="J50" s="6"/>
      <c r="K50" s="6"/>
    </row>
    <row r="51" spans="1:11" x14ac:dyDescent="0.15">
      <c r="A51" s="6">
        <v>49</v>
      </c>
      <c r="B51" s="7" t="s">
        <v>13</v>
      </c>
      <c r="C51" s="7">
        <v>8</v>
      </c>
      <c r="D51" s="8">
        <v>156</v>
      </c>
      <c r="E51" s="7" t="s">
        <v>14</v>
      </c>
      <c r="F51" s="7"/>
      <c r="G51" s="7"/>
      <c r="H51" s="7" t="s">
        <v>50</v>
      </c>
      <c r="I51" s="7"/>
      <c r="J51" s="6"/>
      <c r="K51" s="6"/>
    </row>
    <row r="52" spans="1:11" x14ac:dyDescent="0.15">
      <c r="A52" s="6">
        <v>50</v>
      </c>
      <c r="B52" s="7" t="s">
        <v>13</v>
      </c>
      <c r="C52" s="7">
        <v>11</v>
      </c>
      <c r="D52" s="8">
        <v>152</v>
      </c>
      <c r="E52" s="7" t="s">
        <v>14</v>
      </c>
      <c r="F52" s="7"/>
      <c r="G52" s="7"/>
      <c r="H52" s="7" t="s">
        <v>51</v>
      </c>
      <c r="I52" s="7"/>
      <c r="J52" s="6"/>
      <c r="K52" s="6"/>
    </row>
    <row r="53" spans="1:11" x14ac:dyDescent="0.15">
      <c r="A53" s="6">
        <v>51</v>
      </c>
      <c r="B53" s="7" t="s">
        <v>13</v>
      </c>
      <c r="C53" s="7">
        <v>11</v>
      </c>
      <c r="D53" s="8">
        <v>153</v>
      </c>
      <c r="E53" s="7" t="s">
        <v>14</v>
      </c>
      <c r="F53" s="7"/>
      <c r="G53" s="7"/>
      <c r="H53" s="7" t="s">
        <v>52</v>
      </c>
      <c r="I53" s="7"/>
    </row>
    <row r="54" spans="1:11" x14ac:dyDescent="0.15">
      <c r="A54" s="6">
        <v>52</v>
      </c>
      <c r="B54" s="7" t="s">
        <v>13</v>
      </c>
      <c r="C54" s="7">
        <v>11</v>
      </c>
      <c r="D54" s="8">
        <v>156</v>
      </c>
      <c r="E54" s="7" t="s">
        <v>14</v>
      </c>
      <c r="F54" s="7"/>
      <c r="G54" s="7"/>
      <c r="H54" s="7" t="s">
        <v>53</v>
      </c>
      <c r="I54" s="7"/>
    </row>
    <row r="55" spans="1:11" x14ac:dyDescent="0.15">
      <c r="A55" s="6">
        <v>53</v>
      </c>
      <c r="B55" s="7" t="s">
        <v>13</v>
      </c>
      <c r="C55" s="7">
        <v>14</v>
      </c>
      <c r="D55" s="8">
        <v>152</v>
      </c>
      <c r="E55" s="7" t="s">
        <v>14</v>
      </c>
      <c r="F55" s="7"/>
      <c r="G55" s="7"/>
      <c r="H55" s="7" t="s">
        <v>54</v>
      </c>
      <c r="I55" s="7"/>
    </row>
    <row r="56" spans="1:11" x14ac:dyDescent="0.15">
      <c r="A56" s="6">
        <v>54</v>
      </c>
      <c r="B56" s="7" t="s">
        <v>13</v>
      </c>
      <c r="C56" s="7">
        <v>14</v>
      </c>
      <c r="D56" s="8">
        <v>153</v>
      </c>
      <c r="E56" s="7" t="s">
        <v>14</v>
      </c>
      <c r="F56" s="7"/>
      <c r="G56" s="7"/>
      <c r="H56" s="7" t="s">
        <v>55</v>
      </c>
      <c r="I56" s="7"/>
    </row>
    <row r="57" spans="1:11" x14ac:dyDescent="0.15">
      <c r="A57" s="6">
        <v>55</v>
      </c>
      <c r="B57" s="7" t="s">
        <v>13</v>
      </c>
      <c r="C57" s="7">
        <v>14</v>
      </c>
      <c r="D57" s="8">
        <v>156</v>
      </c>
      <c r="E57" s="7" t="s">
        <v>14</v>
      </c>
      <c r="F57" s="7"/>
      <c r="G57" s="7"/>
      <c r="H57" s="7" t="s">
        <v>56</v>
      </c>
      <c r="I57" s="7"/>
    </row>
    <row r="58" spans="1:11" x14ac:dyDescent="0.15">
      <c r="A58" s="6">
        <v>56</v>
      </c>
      <c r="B58" s="7" t="s">
        <v>13</v>
      </c>
      <c r="C58" s="7">
        <v>7</v>
      </c>
      <c r="D58" s="8">
        <v>148</v>
      </c>
      <c r="E58" s="7" t="s">
        <v>14</v>
      </c>
      <c r="F58" s="7"/>
      <c r="G58" s="7"/>
      <c r="H58" s="7" t="s">
        <v>57</v>
      </c>
      <c r="I58" s="7"/>
    </row>
    <row r="59" spans="1:11" x14ac:dyDescent="0.15">
      <c r="A59" s="6">
        <v>57</v>
      </c>
      <c r="B59" s="7" t="s">
        <v>13</v>
      </c>
      <c r="C59" s="7">
        <v>10</v>
      </c>
      <c r="D59" s="8">
        <v>148</v>
      </c>
      <c r="E59" s="7" t="s">
        <v>14</v>
      </c>
      <c r="F59" s="7"/>
      <c r="G59" s="7"/>
      <c r="H59" s="7" t="s">
        <v>58</v>
      </c>
      <c r="I59" s="7"/>
    </row>
    <row r="60" spans="1:11" x14ac:dyDescent="0.15">
      <c r="A60" s="6">
        <v>58</v>
      </c>
      <c r="B60" s="7" t="s">
        <v>13</v>
      </c>
      <c r="C60" s="7">
        <v>13</v>
      </c>
      <c r="D60" s="8">
        <v>148</v>
      </c>
      <c r="E60" s="7" t="s">
        <v>14</v>
      </c>
      <c r="F60" s="7"/>
      <c r="G60" s="7"/>
      <c r="H60" s="7" t="s">
        <v>59</v>
      </c>
      <c r="I60" s="7"/>
    </row>
    <row r="61" spans="1:11" x14ac:dyDescent="0.15">
      <c r="A61" s="6">
        <v>59</v>
      </c>
      <c r="B61" s="7" t="s">
        <v>13</v>
      </c>
      <c r="C61" s="7">
        <v>1</v>
      </c>
      <c r="D61" s="8">
        <v>177</v>
      </c>
      <c r="E61" s="7" t="s">
        <v>23</v>
      </c>
      <c r="F61" s="7" t="s">
        <v>24</v>
      </c>
      <c r="G61" s="7">
        <v>15</v>
      </c>
      <c r="H61" s="7" t="s">
        <v>62</v>
      </c>
      <c r="I61" s="7" t="s">
        <v>63</v>
      </c>
    </row>
    <row r="62" spans="1:11" x14ac:dyDescent="0.15">
      <c r="A62" s="6">
        <v>60</v>
      </c>
      <c r="B62" s="7" t="s">
        <v>13</v>
      </c>
      <c r="C62" s="7">
        <v>3</v>
      </c>
      <c r="D62" s="8">
        <v>177</v>
      </c>
      <c r="E62" s="7" t="s">
        <v>23</v>
      </c>
      <c r="F62" s="7" t="s">
        <v>24</v>
      </c>
      <c r="G62" s="7">
        <v>15</v>
      </c>
      <c r="H62" s="7" t="s">
        <v>64</v>
      </c>
      <c r="I62" s="7" t="s">
        <v>63</v>
      </c>
    </row>
    <row r="63" spans="1:11" x14ac:dyDescent="0.15">
      <c r="A63" s="6">
        <v>61</v>
      </c>
      <c r="B63" s="7" t="s">
        <v>13</v>
      </c>
      <c r="C63" s="7">
        <v>4</v>
      </c>
      <c r="D63" s="8">
        <v>177</v>
      </c>
      <c r="E63" s="7" t="s">
        <v>23</v>
      </c>
      <c r="F63" s="7" t="s">
        <v>24</v>
      </c>
      <c r="G63" s="7">
        <v>15</v>
      </c>
      <c r="H63" s="7" t="s">
        <v>65</v>
      </c>
      <c r="I63" s="7" t="s">
        <v>63</v>
      </c>
    </row>
    <row r="64" spans="1:11" x14ac:dyDescent="0.15">
      <c r="A64" s="6">
        <v>62</v>
      </c>
      <c r="B64" s="7" t="s">
        <v>13</v>
      </c>
      <c r="C64" s="7">
        <v>5</v>
      </c>
      <c r="D64" s="8">
        <v>177</v>
      </c>
      <c r="E64" s="7" t="s">
        <v>23</v>
      </c>
      <c r="F64" s="7" t="s">
        <v>24</v>
      </c>
      <c r="G64" s="7">
        <v>15</v>
      </c>
      <c r="H64" s="7" t="s">
        <v>66</v>
      </c>
      <c r="I64" s="7" t="s">
        <v>63</v>
      </c>
    </row>
    <row r="65" spans="1:9" x14ac:dyDescent="0.15">
      <c r="A65" s="6">
        <v>63</v>
      </c>
      <c r="B65" s="7" t="s">
        <v>13</v>
      </c>
      <c r="C65" s="7">
        <v>6</v>
      </c>
      <c r="D65" s="8">
        <v>177</v>
      </c>
      <c r="E65" s="7" t="s">
        <v>23</v>
      </c>
      <c r="F65" s="7" t="s">
        <v>24</v>
      </c>
      <c r="G65" s="7">
        <v>15</v>
      </c>
      <c r="H65" s="7" t="s">
        <v>67</v>
      </c>
      <c r="I65" s="7" t="s">
        <v>63</v>
      </c>
    </row>
    <row r="66" spans="1:9" x14ac:dyDescent="0.15">
      <c r="A66" s="6">
        <v>64</v>
      </c>
      <c r="B66" s="7" t="s">
        <v>13</v>
      </c>
      <c r="C66" s="7">
        <v>7</v>
      </c>
      <c r="D66" s="8">
        <v>177</v>
      </c>
      <c r="E66" s="7" t="s">
        <v>23</v>
      </c>
      <c r="F66" s="7" t="s">
        <v>24</v>
      </c>
      <c r="G66" s="7">
        <v>15</v>
      </c>
      <c r="H66" s="7" t="s">
        <v>68</v>
      </c>
      <c r="I66" s="7" t="s">
        <v>63</v>
      </c>
    </row>
    <row r="67" spans="1:9" x14ac:dyDescent="0.15">
      <c r="A67" s="6">
        <v>65</v>
      </c>
      <c r="B67" s="7" t="s">
        <v>13</v>
      </c>
      <c r="C67" s="7">
        <v>8</v>
      </c>
      <c r="D67" s="8">
        <v>169</v>
      </c>
      <c r="E67" s="7" t="s">
        <v>14</v>
      </c>
      <c r="F67" s="7"/>
      <c r="G67" s="7"/>
      <c r="H67" s="325" t="s">
        <v>376</v>
      </c>
      <c r="I67" s="7"/>
    </row>
    <row r="68" spans="1:9" x14ac:dyDescent="0.15">
      <c r="A68" s="6">
        <v>66</v>
      </c>
      <c r="B68" s="7" t="s">
        <v>13</v>
      </c>
      <c r="C68" s="7">
        <v>11</v>
      </c>
      <c r="D68" s="8">
        <v>169</v>
      </c>
      <c r="E68" s="7" t="s">
        <v>14</v>
      </c>
      <c r="F68" s="7"/>
      <c r="G68" s="7"/>
      <c r="H68" s="325" t="s">
        <v>377</v>
      </c>
      <c r="I68" s="7"/>
    </row>
    <row r="69" spans="1:9" x14ac:dyDescent="0.15">
      <c r="A69" s="6">
        <v>67</v>
      </c>
      <c r="B69" s="7" t="s">
        <v>13</v>
      </c>
      <c r="C69" s="7">
        <v>14</v>
      </c>
      <c r="D69" s="8">
        <v>169</v>
      </c>
      <c r="E69" s="7" t="s">
        <v>14</v>
      </c>
      <c r="F69" s="7"/>
      <c r="G69" s="7"/>
      <c r="H69" s="325" t="s">
        <v>378</v>
      </c>
      <c r="I69" s="7"/>
    </row>
    <row r="70" spans="1:9" x14ac:dyDescent="0.15">
      <c r="A70" s="6">
        <v>68</v>
      </c>
      <c r="B70" s="7" t="s">
        <v>13</v>
      </c>
      <c r="C70" s="7">
        <v>8</v>
      </c>
      <c r="D70" s="8">
        <v>170</v>
      </c>
      <c r="E70" s="7" t="s">
        <v>14</v>
      </c>
      <c r="F70" s="7"/>
      <c r="G70" s="7"/>
      <c r="H70" s="325" t="s">
        <v>388</v>
      </c>
      <c r="I70" s="7"/>
    </row>
    <row r="71" spans="1:9" x14ac:dyDescent="0.15">
      <c r="A71" s="6">
        <v>69</v>
      </c>
      <c r="B71" s="7" t="s">
        <v>13</v>
      </c>
      <c r="C71" s="7">
        <v>11</v>
      </c>
      <c r="D71" s="8">
        <v>170</v>
      </c>
      <c r="E71" s="7" t="s">
        <v>14</v>
      </c>
      <c r="F71" s="7"/>
      <c r="G71" s="7"/>
      <c r="H71" s="325" t="s">
        <v>389</v>
      </c>
      <c r="I71" s="7"/>
    </row>
    <row r="72" spans="1:9" x14ac:dyDescent="0.15">
      <c r="A72" s="6">
        <v>70</v>
      </c>
      <c r="B72" s="7" t="s">
        <v>13</v>
      </c>
      <c r="C72" s="7">
        <v>14</v>
      </c>
      <c r="D72" s="8">
        <v>170</v>
      </c>
      <c r="E72" s="7" t="s">
        <v>14</v>
      </c>
      <c r="F72" s="7"/>
      <c r="G72" s="7"/>
      <c r="H72" s="325" t="s">
        <v>390</v>
      </c>
      <c r="I72" s="7"/>
    </row>
    <row r="73" spans="1:9" x14ac:dyDescent="0.15">
      <c r="A73" s="6">
        <v>71</v>
      </c>
      <c r="B73" s="7" t="s">
        <v>283</v>
      </c>
      <c r="C73" s="7">
        <v>9</v>
      </c>
      <c r="D73" s="8">
        <v>170</v>
      </c>
      <c r="E73" s="7" t="s">
        <v>372</v>
      </c>
      <c r="F73" s="7"/>
      <c r="G73" s="7"/>
      <c r="H73" s="325" t="s">
        <v>379</v>
      </c>
      <c r="I73" s="7"/>
    </row>
    <row r="74" spans="1:9" x14ac:dyDescent="0.15">
      <c r="A74" s="6">
        <v>72</v>
      </c>
      <c r="B74" s="7" t="s">
        <v>283</v>
      </c>
      <c r="C74" s="7">
        <v>12</v>
      </c>
      <c r="D74" s="8">
        <v>170</v>
      </c>
      <c r="E74" s="7" t="s">
        <v>372</v>
      </c>
      <c r="F74" s="7"/>
      <c r="G74" s="7"/>
      <c r="H74" s="325" t="s">
        <v>380</v>
      </c>
      <c r="I74" s="7"/>
    </row>
    <row r="75" spans="1:9" x14ac:dyDescent="0.15">
      <c r="A75" s="6">
        <v>73</v>
      </c>
      <c r="B75" s="7" t="s">
        <v>283</v>
      </c>
      <c r="C75" s="7">
        <v>15</v>
      </c>
      <c r="D75" s="8">
        <v>170</v>
      </c>
      <c r="E75" s="7" t="s">
        <v>372</v>
      </c>
      <c r="F75" s="7"/>
      <c r="G75" s="7"/>
      <c r="H75" s="325" t="s">
        <v>381</v>
      </c>
      <c r="I75" s="7"/>
    </row>
    <row r="76" spans="1:9" x14ac:dyDescent="0.15">
      <c r="A76" s="6">
        <v>74</v>
      </c>
      <c r="B76" s="7" t="s">
        <v>13</v>
      </c>
      <c r="C76" s="7">
        <v>8</v>
      </c>
      <c r="D76" s="8">
        <v>171</v>
      </c>
      <c r="E76" s="7" t="s">
        <v>14</v>
      </c>
      <c r="F76" s="7"/>
      <c r="G76" s="7"/>
      <c r="H76" s="325" t="s">
        <v>382</v>
      </c>
      <c r="I76" s="325" t="s">
        <v>366</v>
      </c>
    </row>
    <row r="77" spans="1:9" x14ac:dyDescent="0.15">
      <c r="A77" s="6">
        <v>75</v>
      </c>
      <c r="B77" s="7" t="s">
        <v>13</v>
      </c>
      <c r="C77" s="7">
        <v>11</v>
      </c>
      <c r="D77" s="8">
        <v>171</v>
      </c>
      <c r="E77" s="7" t="s">
        <v>14</v>
      </c>
      <c r="F77" s="7"/>
      <c r="G77" s="7"/>
      <c r="H77" s="325" t="s">
        <v>383</v>
      </c>
      <c r="I77" s="325" t="s">
        <v>366</v>
      </c>
    </row>
    <row r="78" spans="1:9" x14ac:dyDescent="0.15">
      <c r="A78" s="6">
        <v>76</v>
      </c>
      <c r="B78" s="7" t="s">
        <v>13</v>
      </c>
      <c r="C78" s="7">
        <v>14</v>
      </c>
      <c r="D78" s="8">
        <v>171</v>
      </c>
      <c r="E78" s="7" t="s">
        <v>14</v>
      </c>
      <c r="F78" s="7"/>
      <c r="G78" s="7"/>
      <c r="H78" s="325" t="s">
        <v>384</v>
      </c>
      <c r="I78" s="325" t="s">
        <v>366</v>
      </c>
    </row>
    <row r="79" spans="1:9" x14ac:dyDescent="0.15">
      <c r="A79" s="6">
        <v>77</v>
      </c>
      <c r="B79" s="7" t="s">
        <v>13</v>
      </c>
      <c r="C79" s="7">
        <v>8</v>
      </c>
      <c r="D79" s="8">
        <v>172</v>
      </c>
      <c r="E79" s="7" t="s">
        <v>14</v>
      </c>
      <c r="F79" s="7"/>
      <c r="G79" s="7"/>
      <c r="H79" s="326" t="s">
        <v>385</v>
      </c>
      <c r="I79" s="325" t="s">
        <v>367</v>
      </c>
    </row>
    <row r="80" spans="1:9" x14ac:dyDescent="0.15">
      <c r="A80" s="6">
        <v>78</v>
      </c>
      <c r="B80" s="7" t="s">
        <v>13</v>
      </c>
      <c r="C80" s="7">
        <v>11</v>
      </c>
      <c r="D80" s="8">
        <v>172</v>
      </c>
      <c r="E80" s="7" t="s">
        <v>14</v>
      </c>
      <c r="F80" s="7"/>
      <c r="G80" s="7"/>
      <c r="H80" s="326" t="s">
        <v>386</v>
      </c>
      <c r="I80" s="325" t="s">
        <v>367</v>
      </c>
    </row>
    <row r="81" spans="1:9" x14ac:dyDescent="0.15">
      <c r="A81" s="6">
        <v>79</v>
      </c>
      <c r="B81" s="7" t="s">
        <v>13</v>
      </c>
      <c r="C81" s="7">
        <v>14</v>
      </c>
      <c r="D81" s="8">
        <v>172</v>
      </c>
      <c r="E81" s="7" t="s">
        <v>14</v>
      </c>
      <c r="F81" s="7"/>
      <c r="G81" s="7"/>
      <c r="H81" s="326" t="s">
        <v>387</v>
      </c>
      <c r="I81" s="325" t="s">
        <v>367</v>
      </c>
    </row>
    <row r="82" spans="1:9" x14ac:dyDescent="0.15">
      <c r="A82" s="6">
        <v>80</v>
      </c>
      <c r="B82" s="7" t="s">
        <v>13</v>
      </c>
      <c r="C82" s="7">
        <v>8</v>
      </c>
      <c r="D82" s="8">
        <v>173</v>
      </c>
      <c r="E82" s="7" t="s">
        <v>14</v>
      </c>
      <c r="F82" s="7"/>
      <c r="G82" s="7"/>
      <c r="H82" s="325" t="s">
        <v>391</v>
      </c>
      <c r="I82" s="325" t="s">
        <v>368</v>
      </c>
    </row>
    <row r="83" spans="1:9" x14ac:dyDescent="0.15">
      <c r="A83" s="6">
        <v>81</v>
      </c>
      <c r="B83" s="7" t="s">
        <v>13</v>
      </c>
      <c r="C83" s="7">
        <v>11</v>
      </c>
      <c r="D83" s="8">
        <v>173</v>
      </c>
      <c r="E83" s="7" t="s">
        <v>14</v>
      </c>
      <c r="F83" s="7"/>
      <c r="G83" s="7"/>
      <c r="H83" s="325" t="s">
        <v>392</v>
      </c>
      <c r="I83" s="325" t="s">
        <v>368</v>
      </c>
    </row>
    <row r="84" spans="1:9" x14ac:dyDescent="0.15">
      <c r="A84" s="6">
        <v>82</v>
      </c>
      <c r="B84" s="7" t="s">
        <v>13</v>
      </c>
      <c r="C84" s="7">
        <v>14</v>
      </c>
      <c r="D84" s="8">
        <v>173</v>
      </c>
      <c r="E84" s="7" t="s">
        <v>14</v>
      </c>
      <c r="F84" s="7"/>
      <c r="G84" s="7"/>
      <c r="H84" s="325" t="s">
        <v>393</v>
      </c>
      <c r="I84" s="325" t="s">
        <v>368</v>
      </c>
    </row>
    <row r="85" spans="1:9" x14ac:dyDescent="0.15">
      <c r="A85" s="6">
        <v>83</v>
      </c>
      <c r="B85" s="7" t="s">
        <v>13</v>
      </c>
      <c r="C85" s="7">
        <v>9</v>
      </c>
      <c r="D85" s="8">
        <v>173</v>
      </c>
      <c r="E85" s="7" t="s">
        <v>14</v>
      </c>
      <c r="F85" s="7"/>
      <c r="G85" s="7"/>
      <c r="H85" s="325" t="s">
        <v>394</v>
      </c>
      <c r="I85" s="325" t="s">
        <v>369</v>
      </c>
    </row>
    <row r="86" spans="1:9" x14ac:dyDescent="0.15">
      <c r="A86" s="6">
        <v>84</v>
      </c>
      <c r="B86" s="7" t="s">
        <v>13</v>
      </c>
      <c r="C86" s="7">
        <v>12</v>
      </c>
      <c r="D86" s="8">
        <v>173</v>
      </c>
      <c r="E86" s="7" t="s">
        <v>14</v>
      </c>
      <c r="F86" s="7"/>
      <c r="G86" s="7"/>
      <c r="H86" s="325" t="s">
        <v>395</v>
      </c>
      <c r="I86" s="325" t="s">
        <v>369</v>
      </c>
    </row>
    <row r="87" spans="1:9" x14ac:dyDescent="0.15">
      <c r="A87" s="6">
        <v>85</v>
      </c>
      <c r="B87" s="7" t="s">
        <v>13</v>
      </c>
      <c r="C87" s="7">
        <v>15</v>
      </c>
      <c r="D87" s="8">
        <v>173</v>
      </c>
      <c r="E87" s="7" t="s">
        <v>14</v>
      </c>
      <c r="F87" s="7"/>
      <c r="G87" s="7"/>
      <c r="H87" s="325" t="s">
        <v>396</v>
      </c>
      <c r="I87" s="325" t="s">
        <v>369</v>
      </c>
    </row>
    <row r="88" spans="1:9" x14ac:dyDescent="0.15">
      <c r="A88" s="6">
        <v>86</v>
      </c>
      <c r="B88" s="7" t="s">
        <v>13</v>
      </c>
      <c r="C88" s="7">
        <v>8</v>
      </c>
      <c r="D88" s="8">
        <v>174</v>
      </c>
      <c r="E88" s="7" t="s">
        <v>14</v>
      </c>
      <c r="F88" s="7"/>
      <c r="G88" s="7"/>
      <c r="H88" s="325" t="s">
        <v>397</v>
      </c>
      <c r="I88" s="325" t="s">
        <v>370</v>
      </c>
    </row>
    <row r="89" spans="1:9" x14ac:dyDescent="0.15">
      <c r="A89" s="6">
        <v>87</v>
      </c>
      <c r="B89" s="7" t="s">
        <v>13</v>
      </c>
      <c r="C89" s="7">
        <v>11</v>
      </c>
      <c r="D89" s="8">
        <v>174</v>
      </c>
      <c r="E89" s="7" t="s">
        <v>14</v>
      </c>
      <c r="F89" s="7"/>
      <c r="G89" s="7"/>
      <c r="H89" s="325" t="s">
        <v>398</v>
      </c>
      <c r="I89" s="325" t="s">
        <v>370</v>
      </c>
    </row>
    <row r="90" spans="1:9" x14ac:dyDescent="0.15">
      <c r="A90" s="6">
        <v>88</v>
      </c>
      <c r="B90" s="7" t="s">
        <v>13</v>
      </c>
      <c r="C90" s="7">
        <v>14</v>
      </c>
      <c r="D90" s="8">
        <v>174</v>
      </c>
      <c r="E90" s="7" t="s">
        <v>14</v>
      </c>
      <c r="F90" s="7"/>
      <c r="G90" s="7"/>
      <c r="H90" s="325" t="s">
        <v>399</v>
      </c>
      <c r="I90" s="325" t="s">
        <v>370</v>
      </c>
    </row>
    <row r="91" spans="1:9" x14ac:dyDescent="0.15">
      <c r="A91" s="6">
        <v>89</v>
      </c>
      <c r="B91" s="7" t="s">
        <v>13</v>
      </c>
      <c r="C91" s="7">
        <v>9</v>
      </c>
      <c r="D91" s="8">
        <v>174</v>
      </c>
      <c r="E91" s="7" t="s">
        <v>14</v>
      </c>
      <c r="F91" s="7"/>
      <c r="G91" s="7"/>
      <c r="H91" s="325" t="s">
        <v>400</v>
      </c>
      <c r="I91" s="325" t="s">
        <v>369</v>
      </c>
    </row>
    <row r="92" spans="1:9" x14ac:dyDescent="0.15">
      <c r="A92" s="6">
        <v>90</v>
      </c>
      <c r="B92" s="7" t="s">
        <v>13</v>
      </c>
      <c r="C92" s="7">
        <v>12</v>
      </c>
      <c r="D92" s="8">
        <v>174</v>
      </c>
      <c r="E92" s="7" t="s">
        <v>14</v>
      </c>
      <c r="F92" s="7"/>
      <c r="G92" s="7"/>
      <c r="H92" s="325" t="s">
        <v>401</v>
      </c>
      <c r="I92" s="325" t="s">
        <v>369</v>
      </c>
    </row>
    <row r="93" spans="1:9" x14ac:dyDescent="0.15">
      <c r="A93" s="6">
        <v>91</v>
      </c>
      <c r="B93" s="7" t="s">
        <v>13</v>
      </c>
      <c r="C93" s="7">
        <v>15</v>
      </c>
      <c r="D93" s="8">
        <v>174</v>
      </c>
      <c r="E93" s="7" t="s">
        <v>14</v>
      </c>
      <c r="F93" s="7"/>
      <c r="G93" s="7"/>
      <c r="H93" s="325" t="s">
        <v>402</v>
      </c>
      <c r="I93" s="325" t="s">
        <v>369</v>
      </c>
    </row>
    <row r="94" spans="1:9" x14ac:dyDescent="0.15">
      <c r="A94" s="6">
        <v>92</v>
      </c>
      <c r="B94" s="7" t="s">
        <v>13</v>
      </c>
      <c r="C94" s="7">
        <v>8</v>
      </c>
      <c r="D94" s="8">
        <v>151</v>
      </c>
      <c r="E94" s="7" t="s">
        <v>14</v>
      </c>
      <c r="F94" s="7"/>
      <c r="G94" s="7"/>
      <c r="H94" s="7" t="s">
        <v>422</v>
      </c>
      <c r="I94" s="7" t="s">
        <v>421</v>
      </c>
    </row>
    <row r="95" spans="1:9" x14ac:dyDescent="0.15">
      <c r="A95" s="6">
        <v>93</v>
      </c>
      <c r="B95" s="7" t="s">
        <v>13</v>
      </c>
      <c r="C95" s="7">
        <v>11</v>
      </c>
      <c r="D95" s="8">
        <v>151</v>
      </c>
      <c r="E95" s="7" t="s">
        <v>14</v>
      </c>
      <c r="F95" s="7"/>
      <c r="G95" s="7"/>
      <c r="H95" s="7" t="s">
        <v>404</v>
      </c>
      <c r="I95" s="7" t="s">
        <v>421</v>
      </c>
    </row>
    <row r="96" spans="1:9" x14ac:dyDescent="0.15">
      <c r="A96" s="6">
        <v>94</v>
      </c>
      <c r="B96" s="7" t="s">
        <v>13</v>
      </c>
      <c r="C96" s="7">
        <v>14</v>
      </c>
      <c r="D96" s="8">
        <v>151</v>
      </c>
      <c r="E96" s="7" t="s">
        <v>14</v>
      </c>
      <c r="F96" s="7"/>
      <c r="G96" s="7"/>
      <c r="H96" s="7" t="s">
        <v>405</v>
      </c>
      <c r="I96" s="7" t="s">
        <v>421</v>
      </c>
    </row>
    <row r="97" spans="1:9" x14ac:dyDescent="0.15">
      <c r="A97" s="6">
        <v>95</v>
      </c>
      <c r="B97" s="7" t="s">
        <v>13</v>
      </c>
      <c r="C97" s="7">
        <v>8</v>
      </c>
      <c r="D97" s="8">
        <v>154</v>
      </c>
      <c r="E97" s="7" t="s">
        <v>14</v>
      </c>
      <c r="F97" s="7"/>
      <c r="G97" s="7"/>
      <c r="H97" s="7" t="s">
        <v>423</v>
      </c>
      <c r="I97" s="7" t="s">
        <v>421</v>
      </c>
    </row>
    <row r="98" spans="1:9" x14ac:dyDescent="0.15">
      <c r="A98" s="6">
        <v>96</v>
      </c>
      <c r="B98" s="7" t="s">
        <v>13</v>
      </c>
      <c r="C98" s="7">
        <v>11</v>
      </c>
      <c r="D98" s="8">
        <v>154</v>
      </c>
      <c r="E98" s="7" t="s">
        <v>14</v>
      </c>
      <c r="F98" s="7"/>
      <c r="G98" s="7"/>
      <c r="H98" s="7" t="s">
        <v>424</v>
      </c>
      <c r="I98" s="7" t="s">
        <v>421</v>
      </c>
    </row>
    <row r="99" spans="1:9" x14ac:dyDescent="0.15">
      <c r="A99" s="6">
        <v>97</v>
      </c>
      <c r="B99" s="7" t="s">
        <v>13</v>
      </c>
      <c r="C99" s="7">
        <v>14</v>
      </c>
      <c r="D99" s="8">
        <v>154</v>
      </c>
      <c r="E99" s="7" t="s">
        <v>14</v>
      </c>
      <c r="F99" s="7"/>
      <c r="G99" s="7"/>
      <c r="H99" s="7" t="s">
        <v>406</v>
      </c>
      <c r="I99" s="7" t="s">
        <v>421</v>
      </c>
    </row>
    <row r="100" spans="1:9" x14ac:dyDescent="0.15">
      <c r="A100" s="6">
        <v>98</v>
      </c>
      <c r="B100" s="7" t="s">
        <v>13</v>
      </c>
      <c r="C100" s="7">
        <v>8</v>
      </c>
      <c r="D100" s="8">
        <v>155</v>
      </c>
      <c r="E100" s="7" t="s">
        <v>14</v>
      </c>
      <c r="F100" s="7"/>
      <c r="G100" s="7"/>
      <c r="H100" s="7" t="s">
        <v>425</v>
      </c>
      <c r="I100" s="7" t="s">
        <v>421</v>
      </c>
    </row>
    <row r="101" spans="1:9" x14ac:dyDescent="0.15">
      <c r="A101" s="6">
        <v>99</v>
      </c>
      <c r="B101" s="7" t="s">
        <v>13</v>
      </c>
      <c r="C101" s="7">
        <v>11</v>
      </c>
      <c r="D101" s="8">
        <v>155</v>
      </c>
      <c r="E101" s="7" t="s">
        <v>14</v>
      </c>
      <c r="F101" s="7"/>
      <c r="G101" s="7"/>
      <c r="H101" s="7" t="s">
        <v>407</v>
      </c>
      <c r="I101" s="7" t="s">
        <v>421</v>
      </c>
    </row>
    <row r="102" spans="1:9" x14ac:dyDescent="0.15">
      <c r="A102" s="6">
        <v>100</v>
      </c>
      <c r="B102" s="7" t="s">
        <v>13</v>
      </c>
      <c r="C102" s="7">
        <v>14</v>
      </c>
      <c r="D102" s="8">
        <v>155</v>
      </c>
      <c r="E102" s="7" t="s">
        <v>14</v>
      </c>
      <c r="F102" s="7"/>
      <c r="G102" s="7"/>
      <c r="H102" s="7" t="s">
        <v>408</v>
      </c>
      <c r="I102" s="7" t="s">
        <v>421</v>
      </c>
    </row>
    <row r="103" spans="1:9" x14ac:dyDescent="0.15">
      <c r="A103" s="6">
        <v>101</v>
      </c>
      <c r="B103" s="7" t="s">
        <v>13</v>
      </c>
      <c r="C103" s="7">
        <v>8</v>
      </c>
      <c r="D103" s="8">
        <v>157</v>
      </c>
      <c r="E103" s="7" t="s">
        <v>14</v>
      </c>
      <c r="F103" s="7"/>
      <c r="G103" s="7"/>
      <c r="H103" s="7" t="s">
        <v>426</v>
      </c>
      <c r="I103" s="7" t="s">
        <v>421</v>
      </c>
    </row>
    <row r="104" spans="1:9" x14ac:dyDescent="0.15">
      <c r="A104" s="6">
        <v>102</v>
      </c>
      <c r="B104" s="7" t="s">
        <v>13</v>
      </c>
      <c r="C104" s="7">
        <v>11</v>
      </c>
      <c r="D104" s="8">
        <v>157</v>
      </c>
      <c r="E104" s="7" t="s">
        <v>14</v>
      </c>
      <c r="F104" s="7"/>
      <c r="G104" s="7"/>
      <c r="H104" s="7" t="s">
        <v>409</v>
      </c>
      <c r="I104" s="7" t="s">
        <v>421</v>
      </c>
    </row>
    <row r="105" spans="1:9" x14ac:dyDescent="0.15">
      <c r="A105" s="6">
        <v>103</v>
      </c>
      <c r="B105" s="7" t="s">
        <v>13</v>
      </c>
      <c r="C105" s="7">
        <v>14</v>
      </c>
      <c r="D105" s="8">
        <v>157</v>
      </c>
      <c r="E105" s="7" t="s">
        <v>14</v>
      </c>
      <c r="F105" s="7"/>
      <c r="G105" s="7"/>
      <c r="H105" s="7" t="s">
        <v>410</v>
      </c>
      <c r="I105" s="7" t="s">
        <v>421</v>
      </c>
    </row>
    <row r="106" spans="1:9" x14ac:dyDescent="0.15">
      <c r="A106" s="6">
        <v>104</v>
      </c>
      <c r="B106" s="7" t="s">
        <v>13</v>
      </c>
      <c r="C106" s="7">
        <v>8</v>
      </c>
      <c r="D106" s="8">
        <v>159</v>
      </c>
      <c r="E106" s="7" t="s">
        <v>14</v>
      </c>
      <c r="F106" s="7"/>
      <c r="G106" s="7"/>
      <c r="H106" s="7" t="s">
        <v>427</v>
      </c>
      <c r="I106" s="7" t="s">
        <v>421</v>
      </c>
    </row>
    <row r="107" spans="1:9" x14ac:dyDescent="0.15">
      <c r="A107" s="6">
        <v>105</v>
      </c>
      <c r="B107" s="7" t="s">
        <v>13</v>
      </c>
      <c r="C107" s="7">
        <v>11</v>
      </c>
      <c r="D107" s="8">
        <v>159</v>
      </c>
      <c r="E107" s="7" t="s">
        <v>14</v>
      </c>
      <c r="F107" s="7"/>
      <c r="G107" s="7"/>
      <c r="H107" s="7" t="s">
        <v>411</v>
      </c>
      <c r="I107" s="7" t="s">
        <v>421</v>
      </c>
    </row>
    <row r="108" spans="1:9" x14ac:dyDescent="0.15">
      <c r="A108" s="6">
        <v>106</v>
      </c>
      <c r="B108" s="7" t="s">
        <v>13</v>
      </c>
      <c r="C108" s="7">
        <v>14</v>
      </c>
      <c r="D108" s="8">
        <v>159</v>
      </c>
      <c r="E108" s="7" t="s">
        <v>14</v>
      </c>
      <c r="F108" s="7"/>
      <c r="G108" s="7"/>
      <c r="H108" s="7" t="s">
        <v>412</v>
      </c>
      <c r="I108" s="7" t="s">
        <v>421</v>
      </c>
    </row>
    <row r="109" spans="1:9" x14ac:dyDescent="0.15">
      <c r="A109" s="6">
        <v>107</v>
      </c>
      <c r="B109" s="7" t="s">
        <v>13</v>
      </c>
      <c r="C109" s="7">
        <v>8</v>
      </c>
      <c r="D109" s="8">
        <v>161</v>
      </c>
      <c r="E109" s="7" t="s">
        <v>14</v>
      </c>
      <c r="F109" s="7"/>
      <c r="G109" s="7"/>
      <c r="H109" s="7" t="s">
        <v>428</v>
      </c>
      <c r="I109" s="7" t="s">
        <v>421</v>
      </c>
    </row>
    <row r="110" spans="1:9" x14ac:dyDescent="0.15">
      <c r="A110" s="6">
        <v>108</v>
      </c>
      <c r="B110" s="7" t="s">
        <v>13</v>
      </c>
      <c r="C110" s="7">
        <v>11</v>
      </c>
      <c r="D110" s="8">
        <v>161</v>
      </c>
      <c r="E110" s="7" t="s">
        <v>14</v>
      </c>
      <c r="F110" s="7"/>
      <c r="G110" s="7"/>
      <c r="H110" s="7" t="s">
        <v>413</v>
      </c>
      <c r="I110" s="7" t="s">
        <v>421</v>
      </c>
    </row>
    <row r="111" spans="1:9" x14ac:dyDescent="0.15">
      <c r="A111" s="6">
        <v>109</v>
      </c>
      <c r="B111" s="7" t="s">
        <v>13</v>
      </c>
      <c r="C111" s="7">
        <v>14</v>
      </c>
      <c r="D111" s="8">
        <v>161</v>
      </c>
      <c r="E111" s="7" t="s">
        <v>14</v>
      </c>
      <c r="F111" s="7"/>
      <c r="G111" s="7"/>
      <c r="H111" s="7" t="s">
        <v>414</v>
      </c>
      <c r="I111" s="7" t="s">
        <v>421</v>
      </c>
    </row>
    <row r="112" spans="1:9" x14ac:dyDescent="0.15">
      <c r="A112" s="6">
        <v>110</v>
      </c>
      <c r="B112" s="7" t="s">
        <v>13</v>
      </c>
      <c r="C112" s="7">
        <v>8</v>
      </c>
      <c r="D112" s="8">
        <v>162</v>
      </c>
      <c r="E112" s="7" t="s">
        <v>14</v>
      </c>
      <c r="F112" s="7"/>
      <c r="G112" s="7"/>
      <c r="H112" s="7" t="s">
        <v>429</v>
      </c>
      <c r="I112" s="7" t="s">
        <v>421</v>
      </c>
    </row>
    <row r="113" spans="1:11" x14ac:dyDescent="0.15">
      <c r="A113" s="6">
        <v>111</v>
      </c>
      <c r="B113" s="7" t="s">
        <v>13</v>
      </c>
      <c r="C113" s="7">
        <v>11</v>
      </c>
      <c r="D113" s="8">
        <v>162</v>
      </c>
      <c r="E113" s="7" t="s">
        <v>14</v>
      </c>
      <c r="F113" s="7"/>
      <c r="G113" s="7"/>
      <c r="H113" s="7" t="s">
        <v>415</v>
      </c>
      <c r="I113" s="7" t="s">
        <v>421</v>
      </c>
    </row>
    <row r="114" spans="1:11" x14ac:dyDescent="0.15">
      <c r="A114" s="6">
        <v>112</v>
      </c>
      <c r="B114" s="7" t="s">
        <v>13</v>
      </c>
      <c r="C114" s="7">
        <v>14</v>
      </c>
      <c r="D114" s="8">
        <v>162</v>
      </c>
      <c r="E114" s="7" t="s">
        <v>14</v>
      </c>
      <c r="F114" s="7"/>
      <c r="G114" s="7"/>
      <c r="H114" s="7" t="s">
        <v>416</v>
      </c>
      <c r="I114" s="7" t="s">
        <v>421</v>
      </c>
    </row>
    <row r="115" spans="1:11" x14ac:dyDescent="0.15">
      <c r="A115" s="6">
        <v>113</v>
      </c>
      <c r="B115" s="7" t="s">
        <v>13</v>
      </c>
      <c r="C115" s="7">
        <v>8</v>
      </c>
      <c r="D115" s="8">
        <v>163</v>
      </c>
      <c r="E115" s="7" t="s">
        <v>14</v>
      </c>
      <c r="F115" s="7"/>
      <c r="G115" s="7"/>
      <c r="H115" s="7" t="s">
        <v>430</v>
      </c>
      <c r="I115" s="7" t="s">
        <v>421</v>
      </c>
    </row>
    <row r="116" spans="1:11" x14ac:dyDescent="0.15">
      <c r="A116" s="6">
        <v>114</v>
      </c>
      <c r="B116" s="7" t="s">
        <v>13</v>
      </c>
      <c r="C116" s="7">
        <v>11</v>
      </c>
      <c r="D116" s="8">
        <v>163</v>
      </c>
      <c r="E116" s="7" t="s">
        <v>14</v>
      </c>
      <c r="F116" s="7"/>
      <c r="G116" s="7"/>
      <c r="H116" s="7" t="s">
        <v>417</v>
      </c>
      <c r="I116" s="7" t="s">
        <v>421</v>
      </c>
    </row>
    <row r="117" spans="1:11" x14ac:dyDescent="0.15">
      <c r="A117" s="6">
        <v>115</v>
      </c>
      <c r="B117" s="7" t="s">
        <v>13</v>
      </c>
      <c r="C117" s="7">
        <v>14</v>
      </c>
      <c r="D117" s="8">
        <v>163</v>
      </c>
      <c r="E117" s="7" t="s">
        <v>14</v>
      </c>
      <c r="F117" s="7"/>
      <c r="G117" s="7"/>
      <c r="H117" s="7" t="s">
        <v>418</v>
      </c>
      <c r="I117" s="7" t="s">
        <v>421</v>
      </c>
    </row>
    <row r="118" spans="1:11" x14ac:dyDescent="0.15">
      <c r="A118" s="6">
        <v>116</v>
      </c>
      <c r="B118" s="7" t="s">
        <v>13</v>
      </c>
      <c r="C118" s="7">
        <v>8</v>
      </c>
      <c r="D118" s="8">
        <v>164</v>
      </c>
      <c r="E118" s="7" t="s">
        <v>14</v>
      </c>
      <c r="F118" s="7"/>
      <c r="G118" s="7"/>
      <c r="H118" s="7" t="s">
        <v>431</v>
      </c>
      <c r="I118" s="7" t="s">
        <v>421</v>
      </c>
    </row>
    <row r="119" spans="1:11" x14ac:dyDescent="0.15">
      <c r="A119" s="6">
        <v>117</v>
      </c>
      <c r="B119" s="7" t="s">
        <v>13</v>
      </c>
      <c r="C119" s="7">
        <v>11</v>
      </c>
      <c r="D119" s="8">
        <v>164</v>
      </c>
      <c r="E119" s="7" t="s">
        <v>14</v>
      </c>
      <c r="F119" s="7"/>
      <c r="G119" s="7"/>
      <c r="H119" s="7" t="s">
        <v>419</v>
      </c>
      <c r="I119" s="7" t="s">
        <v>421</v>
      </c>
    </row>
    <row r="120" spans="1:11" x14ac:dyDescent="0.15">
      <c r="A120" s="6">
        <v>118</v>
      </c>
      <c r="B120" s="7" t="s">
        <v>13</v>
      </c>
      <c r="C120" s="7">
        <v>14</v>
      </c>
      <c r="D120" s="8">
        <v>164</v>
      </c>
      <c r="E120" s="7" t="s">
        <v>14</v>
      </c>
      <c r="F120" s="7"/>
      <c r="G120" s="7"/>
      <c r="H120" s="7" t="s">
        <v>420</v>
      </c>
      <c r="I120" s="7" t="s">
        <v>421</v>
      </c>
    </row>
    <row r="121" spans="1:11" x14ac:dyDescent="0.15">
      <c r="A121" s="6">
        <v>119</v>
      </c>
      <c r="B121" s="7" t="s">
        <v>13</v>
      </c>
      <c r="C121" s="7">
        <v>8</v>
      </c>
      <c r="D121" s="8">
        <v>150</v>
      </c>
      <c r="E121" s="7" t="s">
        <v>14</v>
      </c>
      <c r="F121" s="7"/>
      <c r="G121" s="7"/>
      <c r="H121" s="7" t="s">
        <v>436</v>
      </c>
      <c r="I121" s="7" t="s">
        <v>432</v>
      </c>
      <c r="J121" t="s">
        <v>60</v>
      </c>
      <c r="K121" t="s">
        <v>9</v>
      </c>
    </row>
    <row r="122" spans="1:11" x14ac:dyDescent="0.15">
      <c r="A122" s="6">
        <v>120</v>
      </c>
      <c r="B122" s="7" t="s">
        <v>13</v>
      </c>
      <c r="C122" s="7">
        <v>11</v>
      </c>
      <c r="D122" s="8">
        <v>150</v>
      </c>
      <c r="E122" s="7" t="s">
        <v>14</v>
      </c>
      <c r="F122" s="7"/>
      <c r="G122" s="7"/>
      <c r="H122" s="7" t="s">
        <v>437</v>
      </c>
      <c r="I122" s="7" t="s">
        <v>432</v>
      </c>
      <c r="J122" t="s">
        <v>14</v>
      </c>
      <c r="K122" t="s">
        <v>24</v>
      </c>
    </row>
    <row r="123" spans="1:11" x14ac:dyDescent="0.15">
      <c r="A123" s="6">
        <v>121</v>
      </c>
      <c r="B123" s="7" t="s">
        <v>13</v>
      </c>
      <c r="C123" s="7">
        <v>14</v>
      </c>
      <c r="D123" s="8">
        <v>150</v>
      </c>
      <c r="E123" s="7" t="s">
        <v>14</v>
      </c>
      <c r="F123" s="7"/>
      <c r="G123" s="7"/>
      <c r="H123" s="7" t="s">
        <v>438</v>
      </c>
      <c r="I123" s="7" t="s">
        <v>432</v>
      </c>
      <c r="J123" t="s">
        <v>23</v>
      </c>
      <c r="K123" t="s">
        <v>61</v>
      </c>
    </row>
    <row r="124" spans="1:11" x14ac:dyDescent="0.15">
      <c r="A124" s="6">
        <v>122</v>
      </c>
      <c r="B124" s="7" t="s">
        <v>13</v>
      </c>
      <c r="C124" s="7">
        <v>8</v>
      </c>
      <c r="D124" s="8">
        <v>166</v>
      </c>
      <c r="E124" s="7" t="s">
        <v>14</v>
      </c>
      <c r="F124" s="7"/>
      <c r="G124" s="7"/>
      <c r="H124" s="7" t="s">
        <v>439</v>
      </c>
      <c r="I124" s="7"/>
    </row>
    <row r="125" spans="1:11" x14ac:dyDescent="0.15">
      <c r="A125" s="6">
        <v>123</v>
      </c>
      <c r="B125" s="7" t="s">
        <v>13</v>
      </c>
      <c r="C125" s="7">
        <v>11</v>
      </c>
      <c r="D125" s="8">
        <v>166</v>
      </c>
      <c r="E125" s="7" t="s">
        <v>14</v>
      </c>
      <c r="F125" s="7"/>
      <c r="G125" s="7"/>
      <c r="H125" s="7" t="s">
        <v>440</v>
      </c>
      <c r="I125" s="7"/>
    </row>
    <row r="126" spans="1:11" x14ac:dyDescent="0.15">
      <c r="A126" s="6">
        <v>124</v>
      </c>
      <c r="B126" s="7" t="s">
        <v>13</v>
      </c>
      <c r="C126" s="7">
        <v>14</v>
      </c>
      <c r="D126" s="8">
        <v>166</v>
      </c>
      <c r="E126" s="7" t="s">
        <v>14</v>
      </c>
      <c r="F126" s="7"/>
      <c r="G126" s="7"/>
      <c r="H126" s="7" t="s">
        <v>441</v>
      </c>
      <c r="I126" s="7"/>
    </row>
    <row r="127" spans="1:11" x14ac:dyDescent="0.15">
      <c r="A127" s="6">
        <v>125</v>
      </c>
      <c r="B127" s="7" t="s">
        <v>13</v>
      </c>
      <c r="C127" s="7">
        <v>8</v>
      </c>
      <c r="D127" s="8">
        <v>167</v>
      </c>
      <c r="E127" s="7" t="s">
        <v>14</v>
      </c>
      <c r="F127" s="7"/>
      <c r="G127" s="7"/>
      <c r="H127" s="7" t="s">
        <v>442</v>
      </c>
      <c r="I127" s="7"/>
    </row>
    <row r="128" spans="1:11" x14ac:dyDescent="0.15">
      <c r="A128" s="6">
        <v>126</v>
      </c>
      <c r="B128" s="7" t="s">
        <v>13</v>
      </c>
      <c r="C128" s="7">
        <v>11</v>
      </c>
      <c r="D128" s="8">
        <v>167</v>
      </c>
      <c r="E128" s="7" t="s">
        <v>14</v>
      </c>
      <c r="F128" s="7"/>
      <c r="G128" s="7"/>
      <c r="H128" s="7" t="s">
        <v>443</v>
      </c>
      <c r="I128" s="7"/>
    </row>
    <row r="129" spans="1:9" x14ac:dyDescent="0.15">
      <c r="A129" s="6">
        <v>127</v>
      </c>
      <c r="B129" s="7" t="s">
        <v>13</v>
      </c>
      <c r="C129" s="7">
        <v>14</v>
      </c>
      <c r="D129" s="8">
        <v>167</v>
      </c>
      <c r="E129" s="7" t="s">
        <v>14</v>
      </c>
      <c r="F129" s="7"/>
      <c r="G129" s="7"/>
      <c r="H129" s="7" t="s">
        <v>444</v>
      </c>
      <c r="I129" s="7"/>
    </row>
    <row r="130" spans="1:9" x14ac:dyDescent="0.15">
      <c r="A130" s="6">
        <v>128</v>
      </c>
      <c r="B130" s="7" t="s">
        <v>13</v>
      </c>
      <c r="C130" s="7">
        <v>8</v>
      </c>
      <c r="D130" s="8">
        <v>149</v>
      </c>
      <c r="E130" s="7" t="s">
        <v>14</v>
      </c>
      <c r="F130" s="7"/>
      <c r="G130" s="7"/>
      <c r="H130" s="7" t="s">
        <v>445</v>
      </c>
      <c r="I130" s="7"/>
    </row>
    <row r="131" spans="1:9" x14ac:dyDescent="0.15">
      <c r="A131" s="6">
        <v>129</v>
      </c>
      <c r="B131" s="7" t="s">
        <v>13</v>
      </c>
      <c r="C131" s="7">
        <v>11</v>
      </c>
      <c r="D131" s="8">
        <v>149</v>
      </c>
      <c r="E131" s="7" t="s">
        <v>14</v>
      </c>
      <c r="F131" s="7"/>
      <c r="G131" s="7"/>
      <c r="H131" s="7" t="s">
        <v>447</v>
      </c>
      <c r="I131" s="7"/>
    </row>
    <row r="132" spans="1:9" x14ac:dyDescent="0.15">
      <c r="A132" s="6">
        <v>130</v>
      </c>
      <c r="B132" s="7" t="s">
        <v>13</v>
      </c>
      <c r="C132" s="7">
        <v>14</v>
      </c>
      <c r="D132" s="8">
        <v>149</v>
      </c>
      <c r="E132" s="7" t="s">
        <v>14</v>
      </c>
      <c r="F132" s="7"/>
      <c r="G132" s="7"/>
      <c r="H132" s="7" t="s">
        <v>446</v>
      </c>
      <c r="I132" s="7"/>
    </row>
    <row r="133" spans="1:9" x14ac:dyDescent="0.15">
      <c r="A133" s="6"/>
      <c r="B133" s="7"/>
      <c r="C133" s="7"/>
      <c r="D133" s="8"/>
      <c r="E133" s="7"/>
      <c r="F133" s="7"/>
      <c r="G133" s="7"/>
      <c r="H133" s="7"/>
      <c r="I133" s="7"/>
    </row>
    <row r="134" spans="1:9" x14ac:dyDescent="0.15">
      <c r="A134" s="6"/>
      <c r="B134" s="7"/>
      <c r="C134" s="7"/>
      <c r="D134" s="8"/>
      <c r="E134" s="7"/>
      <c r="F134" s="7"/>
      <c r="G134" s="7"/>
      <c r="H134" s="7"/>
      <c r="I134" s="7"/>
    </row>
    <row r="135" spans="1:9" x14ac:dyDescent="0.15">
      <c r="A135" s="6"/>
      <c r="B135" s="7"/>
      <c r="C135" s="7"/>
      <c r="D135" s="8"/>
      <c r="E135" s="7"/>
      <c r="F135" s="7"/>
      <c r="G135" s="7"/>
      <c r="H135" s="7"/>
      <c r="I135" s="7"/>
    </row>
    <row r="136" spans="1:9" x14ac:dyDescent="0.15">
      <c r="A136" s="6"/>
      <c r="B136" s="7"/>
      <c r="C136" s="7"/>
      <c r="D136" s="8"/>
      <c r="E136" s="7"/>
      <c r="F136" s="7"/>
      <c r="G136" s="7"/>
      <c r="H136" s="7"/>
      <c r="I136" s="7"/>
    </row>
    <row r="137" spans="1:9" x14ac:dyDescent="0.15">
      <c r="A137" s="6"/>
      <c r="B137" s="7"/>
      <c r="C137" s="7"/>
      <c r="D137" s="8"/>
      <c r="E137" s="7"/>
      <c r="F137" s="7"/>
      <c r="G137" s="7"/>
      <c r="H137" s="7"/>
      <c r="I137" s="7"/>
    </row>
  </sheetData>
  <phoneticPr fontId="3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原価試算</vt:lpstr>
      <vt:lpstr>試算結果</vt:lpstr>
      <vt:lpstr>原料確認</vt:lpstr>
      <vt:lpstr>仕切式</vt:lpstr>
      <vt:lpstr>Setting</vt:lpstr>
      <vt:lpstr>資材リスト</vt:lpstr>
    </vt:vector>
  </TitlesOfParts>
  <Company>キユーピー株式会社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９３００２</dc:creator>
  <cp:lastModifiedBy>河内　佳織</cp:lastModifiedBy>
  <cp:lastPrinted>2008-10-22T07:43:39Z</cp:lastPrinted>
  <dcterms:created xsi:type="dcterms:W3CDTF">1999-09-14T10:43:01Z</dcterms:created>
  <dcterms:modified xsi:type="dcterms:W3CDTF">2019-07-04T04:03:48Z</dcterms:modified>
</cp:coreProperties>
</file>