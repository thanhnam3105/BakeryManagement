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7534\Downloads\"/>
    </mc:Choice>
  </mc:AlternateContent>
  <xr:revisionPtr revIDLastSave="0" documentId="13_ncr:1_{8B451C4C-9D1A-460A-855F-9A6771F078BD}" xr6:coauthVersionLast="47" xr6:coauthVersionMax="47" xr10:uidLastSave="{00000000-0000-0000-0000-000000000000}"/>
  <bookViews>
    <workbookView xWindow="-120" yWindow="-120" windowWidth="29040" windowHeight="17640" tabRatio="711" xr2:uid="{00000000-000D-0000-FFFF-FFFF00000000}"/>
  </bookViews>
  <sheets>
    <sheet name="原料情報１" sheetId="1" r:id="rId1"/>
    <sheet name="原料情報２" sheetId="2" r:id="rId2"/>
    <sheet name="原料情報３" sheetId="3" r:id="rId3"/>
    <sheet name="原料情報４" sheetId="4" r:id="rId4"/>
    <sheet name="表示案１" sheetId="12" r:id="rId5"/>
    <sheet name="表示案２" sheetId="13" r:id="rId6"/>
    <sheet name="表示案３" sheetId="14" r:id="rId7"/>
    <sheet name="表示案４" sheetId="15" r:id="rId8"/>
    <sheet name="サンプル説明書" sheetId="16" r:id="rId9"/>
    <sheet name="Setting" sheetId="6" r:id="rId10"/>
  </sheets>
  <functionGroups builtInGroupCount="19"/>
  <definedNames>
    <definedName name="_xlnm.Print_Area" localSheetId="8">サンプル説明書!$A$1:$Q$71</definedName>
    <definedName name="_xlnm.Print_Area" localSheetId="4">表示案１!$A$1:$BH$62</definedName>
    <definedName name="_xlnm.Print_Area" localSheetId="5">表示案２!$A$1:$BH$62</definedName>
    <definedName name="_xlnm.Print_Area" localSheetId="6">表示案３!$A$1:$BH$62</definedName>
    <definedName name="_xlnm.Print_Area" localSheetId="7">表示案４!$A$1:$BH$62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6" l="1"/>
  <c r="B5" i="16"/>
  <c r="C6" i="16"/>
  <c r="G6" i="16"/>
  <c r="K6" i="16"/>
  <c r="O6" i="16"/>
  <c r="B8" i="16"/>
  <c r="F8" i="16"/>
  <c r="J8" i="16"/>
  <c r="N8" i="16"/>
  <c r="B9" i="16"/>
  <c r="F9" i="16"/>
  <c r="J9" i="16"/>
  <c r="N9" i="16"/>
  <c r="B10" i="16"/>
  <c r="F10" i="16"/>
  <c r="J10" i="16"/>
  <c r="N10" i="16"/>
  <c r="B11" i="16"/>
  <c r="F11" i="16"/>
  <c r="J11" i="16"/>
  <c r="N11" i="16"/>
  <c r="B12" i="16"/>
  <c r="F12" i="16"/>
  <c r="J12" i="16"/>
  <c r="N12" i="16"/>
  <c r="B13" i="16"/>
  <c r="F13" i="16"/>
  <c r="J13" i="16"/>
  <c r="N13" i="16"/>
  <c r="B14" i="16"/>
  <c r="F14" i="16"/>
  <c r="J14" i="16"/>
  <c r="N14" i="16"/>
  <c r="B15" i="16"/>
  <c r="F15" i="16"/>
  <c r="J15" i="16"/>
  <c r="N15" i="16"/>
  <c r="B16" i="16"/>
  <c r="F16" i="16"/>
  <c r="J16" i="16"/>
  <c r="N16" i="16"/>
  <c r="B17" i="16"/>
  <c r="F17" i="16"/>
  <c r="J17" i="16"/>
  <c r="N17" i="16"/>
  <c r="B18" i="16"/>
  <c r="F18" i="16"/>
  <c r="J18" i="16"/>
  <c r="N18" i="16"/>
  <c r="B19" i="16"/>
  <c r="F19" i="16"/>
  <c r="J19" i="16"/>
  <c r="N19" i="16"/>
  <c r="B20" i="16"/>
  <c r="F20" i="16"/>
  <c r="J20" i="16"/>
  <c r="N20" i="16"/>
  <c r="B21" i="16"/>
  <c r="F21" i="16"/>
  <c r="J21" i="16"/>
  <c r="N21" i="16"/>
  <c r="B22" i="16"/>
  <c r="F22" i="16"/>
  <c r="J22" i="16"/>
  <c r="N22" i="16"/>
  <c r="B23" i="16"/>
  <c r="F23" i="16"/>
  <c r="J23" i="16"/>
  <c r="N23" i="16"/>
  <c r="B24" i="16"/>
  <c r="F24" i="16"/>
  <c r="J24" i="16"/>
  <c r="N24" i="16"/>
  <c r="B25" i="16"/>
  <c r="F25" i="16"/>
  <c r="J25" i="16"/>
  <c r="N25" i="16"/>
  <c r="B26" i="16"/>
  <c r="F26" i="16"/>
  <c r="J26" i="16"/>
  <c r="N26" i="16"/>
  <c r="B27" i="16"/>
  <c r="F27" i="16"/>
  <c r="J27" i="16"/>
  <c r="N27" i="16"/>
  <c r="B28" i="16"/>
  <c r="F28" i="16"/>
  <c r="J28" i="16"/>
  <c r="N28" i="16"/>
  <c r="B29" i="16"/>
  <c r="F29" i="16"/>
  <c r="J29" i="16"/>
  <c r="N29" i="16"/>
  <c r="B30" i="16"/>
  <c r="F30" i="16"/>
  <c r="J30" i="16"/>
  <c r="N30" i="16"/>
  <c r="B31" i="16"/>
  <c r="F31" i="16"/>
  <c r="J31" i="16"/>
  <c r="N31" i="16"/>
  <c r="B32" i="16"/>
  <c r="F32" i="16"/>
  <c r="J32" i="16"/>
  <c r="N32" i="16"/>
  <c r="B33" i="16"/>
  <c r="F33" i="16"/>
  <c r="J33" i="16"/>
  <c r="N33" i="16"/>
  <c r="B34" i="16"/>
  <c r="F34" i="16"/>
  <c r="J34" i="16"/>
  <c r="N34" i="16"/>
  <c r="B35" i="16"/>
  <c r="F35" i="16"/>
  <c r="J35" i="16"/>
  <c r="N35" i="16"/>
  <c r="B36" i="16"/>
  <c r="F36" i="16"/>
  <c r="J36" i="16"/>
  <c r="N36" i="16"/>
  <c r="B37" i="16"/>
  <c r="F37" i="16"/>
  <c r="J37" i="16"/>
  <c r="N37" i="16"/>
  <c r="B38" i="16"/>
  <c r="F38" i="16"/>
  <c r="J38" i="16"/>
  <c r="N38" i="16"/>
  <c r="B39" i="16"/>
  <c r="F39" i="16"/>
  <c r="J39" i="16"/>
  <c r="N39" i="16"/>
  <c r="B40" i="16"/>
  <c r="F40" i="16"/>
  <c r="J40" i="16"/>
  <c r="N40" i="16"/>
  <c r="B41" i="16"/>
  <c r="F41" i="16"/>
  <c r="J41" i="16"/>
  <c r="N41" i="16"/>
  <c r="B42" i="16"/>
  <c r="F42" i="16"/>
  <c r="J42" i="16"/>
  <c r="N42" i="16"/>
  <c r="B43" i="16"/>
  <c r="F43" i="16"/>
  <c r="J43" i="16"/>
  <c r="N43" i="16"/>
  <c r="B44" i="16"/>
  <c r="F44" i="16"/>
  <c r="J44" i="16"/>
  <c r="N44" i="16"/>
  <c r="B45" i="16"/>
  <c r="F45" i="16"/>
  <c r="J45" i="16"/>
  <c r="N45" i="16"/>
  <c r="B46" i="16"/>
  <c r="F46" i="16"/>
  <c r="J46" i="16"/>
  <c r="N46" i="16"/>
  <c r="B47" i="16"/>
  <c r="F47" i="16"/>
  <c r="J47" i="16"/>
  <c r="N47" i="16"/>
  <c r="B48" i="16"/>
  <c r="F48" i="16"/>
  <c r="J48" i="16"/>
  <c r="N48" i="16"/>
  <c r="B49" i="16"/>
  <c r="F49" i="16"/>
  <c r="J49" i="16"/>
  <c r="N49" i="16"/>
  <c r="B50" i="16"/>
  <c r="F50" i="16"/>
  <c r="J50" i="16"/>
  <c r="N50" i="16"/>
  <c r="B51" i="16"/>
  <c r="F51" i="16"/>
  <c r="J51" i="16"/>
  <c r="N51" i="16"/>
  <c r="B52" i="16"/>
  <c r="F52" i="16"/>
  <c r="J52" i="16"/>
  <c r="N52" i="16"/>
  <c r="B53" i="16"/>
  <c r="F53" i="16"/>
  <c r="J53" i="16"/>
  <c r="N53" i="16"/>
  <c r="B54" i="16"/>
  <c r="F54" i="16"/>
  <c r="J54" i="16"/>
  <c r="N54" i="16"/>
  <c r="B55" i="16"/>
  <c r="F55" i="16"/>
  <c r="J55" i="16"/>
  <c r="N55" i="16"/>
  <c r="B56" i="16"/>
  <c r="F56" i="16"/>
  <c r="J56" i="16"/>
  <c r="N56" i="16"/>
  <c r="B57" i="16"/>
  <c r="F57" i="16"/>
  <c r="J57" i="16"/>
  <c r="N57" i="16"/>
  <c r="B67" i="16"/>
  <c r="F67" i="16"/>
  <c r="J67" i="16"/>
  <c r="N67" i="16"/>
  <c r="B68" i="16"/>
  <c r="F68" i="16"/>
  <c r="J68" i="16"/>
  <c r="N68" i="16"/>
  <c r="D5" i="12"/>
  <c r="H5" i="12"/>
  <c r="BH8" i="12"/>
  <c r="BH9" i="12"/>
  <c r="BH10" i="12"/>
  <c r="BH11" i="12"/>
  <c r="BH12" i="12"/>
  <c r="BH13" i="12"/>
  <c r="BH14" i="12"/>
  <c r="BH15" i="12"/>
  <c r="BH16" i="12"/>
  <c r="BH17" i="12"/>
  <c r="BH18" i="12"/>
  <c r="BH19" i="12"/>
  <c r="BH20" i="12"/>
  <c r="BH21" i="12"/>
  <c r="BH22" i="12"/>
  <c r="BH23" i="12"/>
  <c r="BH24" i="12"/>
  <c r="BH25" i="12"/>
  <c r="BH26" i="12"/>
  <c r="BH27" i="12"/>
  <c r="BH28" i="12"/>
  <c r="BH29" i="12"/>
  <c r="BH30" i="12"/>
  <c r="BH31" i="12"/>
  <c r="BH32" i="12"/>
  <c r="BH33" i="12"/>
  <c r="BH34" i="12"/>
  <c r="BH35" i="12"/>
  <c r="BH36" i="12"/>
  <c r="BH37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H60" i="12"/>
  <c r="D8" i="16" s="1"/>
  <c r="I60" i="12"/>
  <c r="D9" i="16" s="1"/>
  <c r="J60" i="12"/>
  <c r="D10" i="16" s="1"/>
  <c r="K60" i="12"/>
  <c r="D11" i="16" s="1"/>
  <c r="L60" i="12"/>
  <c r="D12" i="16"/>
  <c r="M60" i="12"/>
  <c r="D13" i="16" s="1"/>
  <c r="N60" i="12"/>
  <c r="D14" i="16" s="1"/>
  <c r="O60" i="12"/>
  <c r="D15" i="16"/>
  <c r="P60" i="12"/>
  <c r="D16" i="16"/>
  <c r="Q60" i="12"/>
  <c r="D17" i="16" s="1"/>
  <c r="R60" i="12"/>
  <c r="D18" i="16" s="1"/>
  <c r="S60" i="12"/>
  <c r="D19" i="16"/>
  <c r="T60" i="12"/>
  <c r="D20" i="16"/>
  <c r="U60" i="12"/>
  <c r="D21" i="16" s="1"/>
  <c r="V60" i="12"/>
  <c r="D22" i="16" s="1"/>
  <c r="W60" i="12"/>
  <c r="D23" i="16"/>
  <c r="X60" i="12"/>
  <c r="D24" i="16"/>
  <c r="Y60" i="12"/>
  <c r="D25" i="16" s="1"/>
  <c r="Z60" i="12"/>
  <c r="D26" i="16" s="1"/>
  <c r="AA60" i="12"/>
  <c r="D27" i="16"/>
  <c r="AB60" i="12"/>
  <c r="D28" i="16"/>
  <c r="AC60" i="12"/>
  <c r="D29" i="16" s="1"/>
  <c r="AD60" i="12"/>
  <c r="D30" i="16" s="1"/>
  <c r="AE60" i="12"/>
  <c r="D31" i="16"/>
  <c r="AF60" i="12"/>
  <c r="D32" i="16"/>
  <c r="AG60" i="12"/>
  <c r="D33" i="16" s="1"/>
  <c r="AH60" i="12"/>
  <c r="D34" i="16" s="1"/>
  <c r="AI60" i="12"/>
  <c r="D35" i="16"/>
  <c r="AJ60" i="12"/>
  <c r="D36" i="16"/>
  <c r="AK60" i="12"/>
  <c r="D37" i="16" s="1"/>
  <c r="AL60" i="12"/>
  <c r="D38" i="16" s="1"/>
  <c r="AM60" i="12"/>
  <c r="D39" i="16"/>
  <c r="AN60" i="12"/>
  <c r="D40" i="16"/>
  <c r="AO60" i="12"/>
  <c r="D41" i="16" s="1"/>
  <c r="AP60" i="12"/>
  <c r="D42" i="16" s="1"/>
  <c r="AQ60" i="12"/>
  <c r="D43" i="16"/>
  <c r="AR60" i="12"/>
  <c r="D44" i="16"/>
  <c r="AS60" i="12"/>
  <c r="D45" i="16" s="1"/>
  <c r="AT60" i="12"/>
  <c r="D46" i="16" s="1"/>
  <c r="AU60" i="12"/>
  <c r="D47" i="16"/>
  <c r="AV60" i="12"/>
  <c r="D48" i="16"/>
  <c r="AW60" i="12"/>
  <c r="D49" i="16" s="1"/>
  <c r="AX60" i="12"/>
  <c r="D50" i="16" s="1"/>
  <c r="AY60" i="12"/>
  <c r="D51" i="16"/>
  <c r="AZ60" i="12"/>
  <c r="D52" i="16"/>
  <c r="BA60" i="12"/>
  <c r="D53" i="16" s="1"/>
  <c r="BB60" i="12"/>
  <c r="D54" i="16" s="1"/>
  <c r="BC60" i="12"/>
  <c r="D55" i="16"/>
  <c r="BD60" i="12"/>
  <c r="D56" i="16"/>
  <c r="BE60" i="12"/>
  <c r="D57" i="16" s="1"/>
  <c r="BF60" i="12"/>
  <c r="D59" i="16" s="1"/>
  <c r="S63" i="12"/>
  <c r="CB1000" i="12"/>
  <c r="CB1001" i="12"/>
  <c r="CB1002" i="12"/>
  <c r="CB1003" i="12"/>
  <c r="CB1004" i="12"/>
  <c r="CB1005" i="12"/>
  <c r="CB1006" i="12"/>
  <c r="CB1007" i="12"/>
  <c r="CB1008" i="12"/>
  <c r="CB1009" i="12"/>
  <c r="CB1010" i="12"/>
  <c r="CB1011" i="12"/>
  <c r="CB1012" i="12"/>
  <c r="CB1013" i="12"/>
  <c r="CB1014" i="12"/>
  <c r="CB1015" i="12"/>
  <c r="CB1016" i="12"/>
  <c r="CB1017" i="12"/>
  <c r="CB1018" i="12"/>
  <c r="CB1019" i="12"/>
  <c r="CB1020" i="12"/>
  <c r="CB1021" i="12"/>
  <c r="CB1022" i="12"/>
  <c r="CB1023" i="12"/>
  <c r="CB1024" i="12"/>
  <c r="CB1025" i="12"/>
  <c r="CB1026" i="12"/>
  <c r="CB1027" i="12"/>
  <c r="CB1028" i="12"/>
  <c r="CB1029" i="12"/>
  <c r="D5" i="13"/>
  <c r="H5" i="13"/>
  <c r="BH8" i="13"/>
  <c r="BH9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H60" i="13"/>
  <c r="H8" i="16" s="1"/>
  <c r="I60" i="13"/>
  <c r="H9" i="16" s="1"/>
  <c r="J60" i="13"/>
  <c r="H10" i="16" s="1"/>
  <c r="K60" i="13"/>
  <c r="H11" i="16" s="1"/>
  <c r="L60" i="13"/>
  <c r="H12" i="16" s="1"/>
  <c r="M60" i="13"/>
  <c r="H13" i="16" s="1"/>
  <c r="N60" i="13"/>
  <c r="H14" i="16" s="1"/>
  <c r="O60" i="13"/>
  <c r="H15" i="16" s="1"/>
  <c r="P60" i="13"/>
  <c r="H16" i="16" s="1"/>
  <c r="Q60" i="13"/>
  <c r="H17" i="16" s="1"/>
  <c r="R60" i="13"/>
  <c r="H18" i="16" s="1"/>
  <c r="S60" i="13"/>
  <c r="H19" i="16"/>
  <c r="T60" i="13"/>
  <c r="H20" i="16" s="1"/>
  <c r="U60" i="13"/>
  <c r="H21" i="16" s="1"/>
  <c r="V60" i="13"/>
  <c r="H22" i="16" s="1"/>
  <c r="W60" i="13"/>
  <c r="H23" i="16"/>
  <c r="X60" i="13"/>
  <c r="H24" i="16" s="1"/>
  <c r="Y60" i="13"/>
  <c r="H25" i="16"/>
  <c r="Z60" i="13"/>
  <c r="H26" i="16" s="1"/>
  <c r="AA60" i="13"/>
  <c r="H27" i="16" s="1"/>
  <c r="AB60" i="13"/>
  <c r="H28" i="16" s="1"/>
  <c r="AC60" i="13"/>
  <c r="H29" i="16" s="1"/>
  <c r="AD60" i="13"/>
  <c r="H30" i="16" s="1"/>
  <c r="AE60" i="13"/>
  <c r="H31" i="16" s="1"/>
  <c r="AF60" i="13"/>
  <c r="H32" i="16" s="1"/>
  <c r="AG60" i="13"/>
  <c r="H33" i="16" s="1"/>
  <c r="AH60" i="13"/>
  <c r="H34" i="16" s="1"/>
  <c r="AI60" i="13"/>
  <c r="H35" i="16"/>
  <c r="AJ60" i="13"/>
  <c r="H36" i="16" s="1"/>
  <c r="AK60" i="13"/>
  <c r="H37" i="16" s="1"/>
  <c r="AL60" i="13"/>
  <c r="H38" i="16" s="1"/>
  <c r="AM60" i="13"/>
  <c r="H39" i="16"/>
  <c r="AN60" i="13"/>
  <c r="H40" i="16" s="1"/>
  <c r="AO60" i="13"/>
  <c r="H41" i="16"/>
  <c r="AP60" i="13"/>
  <c r="H42" i="16" s="1"/>
  <c r="AQ60" i="13"/>
  <c r="H43" i="16" s="1"/>
  <c r="AR60" i="13"/>
  <c r="H44" i="16" s="1"/>
  <c r="AS60" i="13"/>
  <c r="H45" i="16" s="1"/>
  <c r="AT60" i="13"/>
  <c r="H46" i="16" s="1"/>
  <c r="AU60" i="13"/>
  <c r="H47" i="16" s="1"/>
  <c r="AV60" i="13"/>
  <c r="H48" i="16" s="1"/>
  <c r="AW60" i="13"/>
  <c r="H49" i="16" s="1"/>
  <c r="AX60" i="13"/>
  <c r="H50" i="16" s="1"/>
  <c r="AY60" i="13"/>
  <c r="H51" i="16"/>
  <c r="AZ60" i="13"/>
  <c r="H52" i="16" s="1"/>
  <c r="BA60" i="13"/>
  <c r="H53" i="16" s="1"/>
  <c r="BB60" i="13"/>
  <c r="H54" i="16" s="1"/>
  <c r="BC60" i="13"/>
  <c r="H55" i="16"/>
  <c r="BD60" i="13"/>
  <c r="H56" i="16" s="1"/>
  <c r="BE60" i="13"/>
  <c r="H57" i="16"/>
  <c r="BF60" i="13"/>
  <c r="H59" i="16" s="1"/>
  <c r="S63" i="13"/>
  <c r="CB1000" i="13"/>
  <c r="CB1001" i="13"/>
  <c r="CB1002" i="13"/>
  <c r="CB1003" i="13"/>
  <c r="CB1004" i="13"/>
  <c r="CB1005" i="13"/>
  <c r="CB1006" i="13"/>
  <c r="CB1007" i="13"/>
  <c r="CB1008" i="13"/>
  <c r="CB1009" i="13"/>
  <c r="CB1010" i="13"/>
  <c r="CB1011" i="13"/>
  <c r="CB1012" i="13"/>
  <c r="CB1013" i="13"/>
  <c r="CB1014" i="13"/>
  <c r="CB1015" i="13"/>
  <c r="CB1016" i="13"/>
  <c r="CB1017" i="13"/>
  <c r="CB1018" i="13"/>
  <c r="CB1019" i="13"/>
  <c r="CB1020" i="13"/>
  <c r="CB1021" i="13"/>
  <c r="CB1022" i="13"/>
  <c r="CB1023" i="13"/>
  <c r="CB1024" i="13"/>
  <c r="CB1025" i="13"/>
  <c r="CB1026" i="13"/>
  <c r="CB1027" i="13"/>
  <c r="CB1028" i="13"/>
  <c r="CB1029" i="13"/>
  <c r="D5" i="14"/>
  <c r="H5" i="14"/>
  <c r="BH8" i="14"/>
  <c r="BH9" i="14"/>
  <c r="BH10" i="14"/>
  <c r="BH11" i="14"/>
  <c r="BH12" i="14"/>
  <c r="BH13" i="14"/>
  <c r="BH14" i="14"/>
  <c r="BH15" i="14"/>
  <c r="BH16" i="14"/>
  <c r="BH17" i="14"/>
  <c r="BH18" i="14"/>
  <c r="BH19" i="14"/>
  <c r="BH20" i="14"/>
  <c r="BH21" i="14"/>
  <c r="BH22" i="14"/>
  <c r="BH23" i="14"/>
  <c r="BH24" i="14"/>
  <c r="BH25" i="14"/>
  <c r="BH26" i="14"/>
  <c r="BH27" i="14"/>
  <c r="BH28" i="14"/>
  <c r="BH29" i="14"/>
  <c r="BH30" i="14"/>
  <c r="BH31" i="14"/>
  <c r="BH32" i="14"/>
  <c r="BH33" i="14"/>
  <c r="BH34" i="14"/>
  <c r="BH35" i="14"/>
  <c r="BH36" i="14"/>
  <c r="BH37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H60" i="14"/>
  <c r="L8" i="16" s="1"/>
  <c r="I60" i="14"/>
  <c r="L9" i="16"/>
  <c r="J60" i="14"/>
  <c r="L10" i="16" s="1"/>
  <c r="K60" i="14"/>
  <c r="L11" i="16" s="1"/>
  <c r="L60" i="14"/>
  <c r="L12" i="16" s="1"/>
  <c r="M60" i="14"/>
  <c r="L13" i="16"/>
  <c r="N60" i="14"/>
  <c r="L14" i="16" s="1"/>
  <c r="O60" i="14"/>
  <c r="L15" i="16"/>
  <c r="P60" i="14"/>
  <c r="L16" i="16" s="1"/>
  <c r="Q60" i="14"/>
  <c r="L17" i="16" s="1"/>
  <c r="R60" i="14"/>
  <c r="L18" i="16" s="1"/>
  <c r="S60" i="14"/>
  <c r="L19" i="16" s="1"/>
  <c r="T60" i="14"/>
  <c r="L20" i="16" s="1"/>
  <c r="U60" i="14"/>
  <c r="L21" i="16" s="1"/>
  <c r="V60" i="14"/>
  <c r="L22" i="16" s="1"/>
  <c r="W60" i="14"/>
  <c r="L23" i="16" s="1"/>
  <c r="X60" i="14"/>
  <c r="L24" i="16" s="1"/>
  <c r="Y60" i="14"/>
  <c r="L25" i="16"/>
  <c r="Z60" i="14"/>
  <c r="L26" i="16" s="1"/>
  <c r="AA60" i="14"/>
  <c r="L27" i="16" s="1"/>
  <c r="AB60" i="14"/>
  <c r="L28" i="16" s="1"/>
  <c r="AC60" i="14"/>
  <c r="L29" i="16"/>
  <c r="AD60" i="14"/>
  <c r="L30" i="16" s="1"/>
  <c r="AE60" i="14"/>
  <c r="L31" i="16"/>
  <c r="AF60" i="14"/>
  <c r="L32" i="16" s="1"/>
  <c r="AG60" i="14"/>
  <c r="L33" i="16" s="1"/>
  <c r="AH60" i="14"/>
  <c r="L34" i="16" s="1"/>
  <c r="AI60" i="14"/>
  <c r="L35" i="16" s="1"/>
  <c r="AJ60" i="14"/>
  <c r="L36" i="16" s="1"/>
  <c r="AK60" i="14"/>
  <c r="L37" i="16" s="1"/>
  <c r="AL60" i="14"/>
  <c r="L38" i="16" s="1"/>
  <c r="AM60" i="14"/>
  <c r="L39" i="16" s="1"/>
  <c r="AN60" i="14"/>
  <c r="L40" i="16" s="1"/>
  <c r="AO60" i="14"/>
  <c r="L41" i="16"/>
  <c r="AP60" i="14"/>
  <c r="L42" i="16" s="1"/>
  <c r="AQ60" i="14"/>
  <c r="L43" i="16" s="1"/>
  <c r="AR60" i="14"/>
  <c r="L44" i="16" s="1"/>
  <c r="AS60" i="14"/>
  <c r="L45" i="16"/>
  <c r="AT60" i="14"/>
  <c r="L46" i="16" s="1"/>
  <c r="AU60" i="14"/>
  <c r="L47" i="16"/>
  <c r="AV60" i="14"/>
  <c r="L48" i="16" s="1"/>
  <c r="AW60" i="14"/>
  <c r="L49" i="16" s="1"/>
  <c r="AX60" i="14"/>
  <c r="L50" i="16" s="1"/>
  <c r="AY60" i="14"/>
  <c r="L51" i="16" s="1"/>
  <c r="AZ60" i="14"/>
  <c r="L52" i="16" s="1"/>
  <c r="BA60" i="14"/>
  <c r="L53" i="16" s="1"/>
  <c r="BB60" i="14"/>
  <c r="L54" i="16" s="1"/>
  <c r="BC60" i="14"/>
  <c r="L55" i="16" s="1"/>
  <c r="BD60" i="14"/>
  <c r="L56" i="16" s="1"/>
  <c r="BE60" i="14"/>
  <c r="L57" i="16"/>
  <c r="S63" i="14"/>
  <c r="CB1000" i="14"/>
  <c r="CB1001" i="14"/>
  <c r="CB1002" i="14"/>
  <c r="CB1003" i="14"/>
  <c r="CB1004" i="14"/>
  <c r="CB1005" i="14"/>
  <c r="CB1006" i="14"/>
  <c r="CB1007" i="14"/>
  <c r="CB1008" i="14"/>
  <c r="CB1009" i="14"/>
  <c r="CB1010" i="14"/>
  <c r="CB1011" i="14"/>
  <c r="CB1012" i="14"/>
  <c r="CB1013" i="14"/>
  <c r="CB1014" i="14"/>
  <c r="CB1015" i="14"/>
  <c r="CB1016" i="14"/>
  <c r="CB1017" i="14"/>
  <c r="CB1018" i="14"/>
  <c r="CB1019" i="14"/>
  <c r="CB1020" i="14"/>
  <c r="CB1021" i="14"/>
  <c r="CB1022" i="14"/>
  <c r="CB1023" i="14"/>
  <c r="CB1024" i="14"/>
  <c r="CB1025" i="14"/>
  <c r="CB1026" i="14"/>
  <c r="CB1027" i="14"/>
  <c r="CB1028" i="14"/>
  <c r="CB1029" i="14"/>
  <c r="D5" i="15"/>
  <c r="H5" i="15"/>
  <c r="BH8" i="15"/>
  <c r="BH9" i="15"/>
  <c r="BH10" i="15"/>
  <c r="BH11" i="15"/>
  <c r="BH12" i="15"/>
  <c r="BH13" i="15"/>
  <c r="BH14" i="15"/>
  <c r="BH15" i="15"/>
  <c r="BH16" i="15"/>
  <c r="BH17" i="15"/>
  <c r="BH18" i="15"/>
  <c r="BH19" i="15"/>
  <c r="BH20" i="15"/>
  <c r="BH21" i="15"/>
  <c r="BH22" i="15"/>
  <c r="BH23" i="15"/>
  <c r="BH24" i="15"/>
  <c r="BH25" i="15"/>
  <c r="BH26" i="15"/>
  <c r="BH27" i="15"/>
  <c r="BH28" i="15"/>
  <c r="BH29" i="15"/>
  <c r="BH30" i="15"/>
  <c r="BH31" i="15"/>
  <c r="BH32" i="15"/>
  <c r="BH33" i="15"/>
  <c r="BH34" i="15"/>
  <c r="BH35" i="15"/>
  <c r="BH36" i="15"/>
  <c r="BH37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F60" i="15" s="1"/>
  <c r="H60" i="15"/>
  <c r="P8" i="16" s="1"/>
  <c r="I60" i="15"/>
  <c r="P9" i="16"/>
  <c r="J60" i="15"/>
  <c r="P10" i="16" s="1"/>
  <c r="K60" i="15"/>
  <c r="P11" i="16"/>
  <c r="L60" i="15"/>
  <c r="P12" i="16" s="1"/>
  <c r="M60" i="15"/>
  <c r="P13" i="16" s="1"/>
  <c r="N60" i="15"/>
  <c r="P14" i="16" s="1"/>
  <c r="O60" i="15"/>
  <c r="P15" i="16" s="1"/>
  <c r="P60" i="15"/>
  <c r="P16" i="16" s="1"/>
  <c r="Q60" i="15"/>
  <c r="P17" i="16" s="1"/>
  <c r="R60" i="15"/>
  <c r="P18" i="16" s="1"/>
  <c r="S60" i="15"/>
  <c r="P19" i="16" s="1"/>
  <c r="T60" i="15"/>
  <c r="P20" i="16" s="1"/>
  <c r="U60" i="15"/>
  <c r="P21" i="16"/>
  <c r="V60" i="15"/>
  <c r="P22" i="16" s="1"/>
  <c r="W60" i="15"/>
  <c r="P23" i="16" s="1"/>
  <c r="X60" i="15"/>
  <c r="P24" i="16" s="1"/>
  <c r="Y60" i="15"/>
  <c r="P25" i="16"/>
  <c r="Z60" i="15"/>
  <c r="P26" i="16" s="1"/>
  <c r="AA60" i="15"/>
  <c r="P27" i="16"/>
  <c r="AB60" i="15"/>
  <c r="P28" i="16" s="1"/>
  <c r="AC60" i="15"/>
  <c r="P29" i="16" s="1"/>
  <c r="AD60" i="15"/>
  <c r="P30" i="16" s="1"/>
  <c r="AE60" i="15"/>
  <c r="P31" i="16" s="1"/>
  <c r="AF60" i="15"/>
  <c r="P32" i="16" s="1"/>
  <c r="AG60" i="15"/>
  <c r="P33" i="16" s="1"/>
  <c r="AH60" i="15"/>
  <c r="P34" i="16" s="1"/>
  <c r="AI60" i="15"/>
  <c r="P35" i="16" s="1"/>
  <c r="AJ60" i="15"/>
  <c r="P36" i="16" s="1"/>
  <c r="AK60" i="15"/>
  <c r="P37" i="16"/>
  <c r="AL60" i="15"/>
  <c r="P38" i="16" s="1"/>
  <c r="AM60" i="15"/>
  <c r="P39" i="16" s="1"/>
  <c r="AN60" i="15"/>
  <c r="P40" i="16" s="1"/>
  <c r="AO60" i="15"/>
  <c r="P41" i="16"/>
  <c r="AP60" i="15"/>
  <c r="P42" i="16" s="1"/>
  <c r="AQ60" i="15"/>
  <c r="P43" i="16"/>
  <c r="AR60" i="15"/>
  <c r="P44" i="16" s="1"/>
  <c r="AS60" i="15"/>
  <c r="P45" i="16" s="1"/>
  <c r="AT60" i="15"/>
  <c r="P46" i="16" s="1"/>
  <c r="AU60" i="15"/>
  <c r="P47" i="16" s="1"/>
  <c r="AV60" i="15"/>
  <c r="P48" i="16" s="1"/>
  <c r="AW60" i="15"/>
  <c r="P49" i="16" s="1"/>
  <c r="AX60" i="15"/>
  <c r="P50" i="16" s="1"/>
  <c r="AY60" i="15"/>
  <c r="P51" i="16" s="1"/>
  <c r="AZ60" i="15"/>
  <c r="P52" i="16" s="1"/>
  <c r="BA60" i="15"/>
  <c r="P53" i="16"/>
  <c r="BB60" i="15"/>
  <c r="P54" i="16" s="1"/>
  <c r="BC60" i="15"/>
  <c r="P55" i="16" s="1"/>
  <c r="BD60" i="15"/>
  <c r="P56" i="16" s="1"/>
  <c r="BE60" i="15"/>
  <c r="P57" i="16"/>
  <c r="S63" i="15"/>
  <c r="CB1000" i="15"/>
  <c r="CB1001" i="15"/>
  <c r="CB1002" i="15"/>
  <c r="CB1003" i="15"/>
  <c r="CB1004" i="15"/>
  <c r="CB1005" i="15"/>
  <c r="CB1006" i="15"/>
  <c r="CB1007" i="15"/>
  <c r="CB1008" i="15"/>
  <c r="CB1009" i="15"/>
  <c r="CB1010" i="15"/>
  <c r="CB1011" i="15"/>
  <c r="CB1012" i="15"/>
  <c r="CB1013" i="15"/>
  <c r="CB1014" i="15"/>
  <c r="CB1015" i="15"/>
  <c r="CB1016" i="15"/>
  <c r="CB1017" i="15"/>
  <c r="CB1018" i="15"/>
  <c r="CB1019" i="15"/>
  <c r="CB1020" i="15"/>
  <c r="CB1021" i="15"/>
  <c r="CB1022" i="15"/>
  <c r="CB1023" i="15"/>
  <c r="CB1024" i="15"/>
  <c r="CB1025" i="15"/>
  <c r="CB1026" i="15"/>
  <c r="CB1027" i="15"/>
  <c r="CB1028" i="15"/>
  <c r="CB1029" i="15"/>
  <c r="F66" i="16"/>
  <c r="B66" i="16"/>
  <c r="N66" i="16"/>
  <c r="J66" i="16"/>
  <c r="P59" i="16" l="1"/>
  <c r="G60" i="15"/>
  <c r="BF60" i="14"/>
  <c r="G60" i="12"/>
  <c r="G60" i="13"/>
  <c r="L59" i="16"/>
  <c r="G60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4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5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6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E7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!！注意！!
31～56は非表示になっております。
必要の際は、再表示して下さい。
ただし、</t>
        </r>
        <r>
          <rPr>
            <sz val="9"/>
            <color indexed="10"/>
            <rFont val="ＭＳ Ｐゴシック"/>
            <family val="3"/>
            <charset val="128"/>
          </rPr>
          <t>列の削除は行わないで下さい</t>
        </r>
        <r>
          <rPr>
            <sz val="9"/>
            <color indexed="81"/>
            <rFont val="ＭＳ Ｐゴシック"/>
            <family val="3"/>
            <charset val="128"/>
          </rPr>
          <t xml:space="preserve">。
</t>
        </r>
      </text>
    </comment>
    <comment ref="B36" authorId="0" shapeId="0" xr:uid="{00000000-0006-0000-07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!！注意！!
37～57は非表示になっております。
必要の際は、再表示して下さい。
ただし、</t>
        </r>
        <r>
          <rPr>
            <b/>
            <sz val="11"/>
            <color indexed="10"/>
            <rFont val="ＭＳ Ｐゴシック"/>
            <family val="3"/>
            <charset val="128"/>
          </rPr>
          <t>行の削除は行わないで下さい</t>
        </r>
        <r>
          <rPr>
            <b/>
            <sz val="11"/>
            <color indexed="81"/>
            <rFont val="ＭＳ Ｐゴシック"/>
            <family val="3"/>
            <charset val="128"/>
          </rPr>
          <t>。</t>
        </r>
      </text>
    </comment>
  </commentList>
</comments>
</file>

<file path=xl/sharedStrings.xml><?xml version="1.0" encoding="utf-8"?>
<sst xmlns="http://schemas.openxmlformats.org/spreadsheetml/2006/main" count="843" uniqueCount="248">
  <si>
    <t>品名</t>
    <rPh sb="0" eb="2">
      <t>ヒンメイ</t>
    </rPh>
    <phoneticPr fontId="3"/>
  </si>
  <si>
    <t>Sample No.</t>
    <phoneticPr fontId="3"/>
  </si>
  <si>
    <t>品コード</t>
    <rPh sb="0" eb="1">
      <t>ヒン</t>
    </rPh>
    <phoneticPr fontId="3"/>
  </si>
  <si>
    <t>原料名</t>
    <rPh sb="0" eb="2">
      <t>ゲンリョウ</t>
    </rPh>
    <rPh sb="2" eb="3">
      <t>メイ</t>
    </rPh>
    <phoneticPr fontId="3"/>
  </si>
  <si>
    <t>配合</t>
    <rPh sb="0" eb="2">
      <t>ハイゴウ</t>
    </rPh>
    <phoneticPr fontId="3"/>
  </si>
  <si>
    <t>歩留</t>
    <rPh sb="0" eb="2">
      <t>ブド</t>
    </rPh>
    <phoneticPr fontId="3"/>
  </si>
  <si>
    <t>表示案情報</t>
    <rPh sb="0" eb="2">
      <t>ヒョウジ</t>
    </rPh>
    <rPh sb="2" eb="3">
      <t>アン</t>
    </rPh>
    <rPh sb="3" eb="5">
      <t>ジョウホウ</t>
    </rPh>
    <phoneticPr fontId="3"/>
  </si>
  <si>
    <t>添加物情報</t>
    <rPh sb="0" eb="3">
      <t>テンカブツ</t>
    </rPh>
    <rPh sb="3" eb="5">
      <t>ジョウホウ</t>
    </rPh>
    <phoneticPr fontId="3"/>
  </si>
  <si>
    <t>栄養計算用　食品番号</t>
    <rPh sb="0" eb="2">
      <t>エイヨウ</t>
    </rPh>
    <rPh sb="2" eb="4">
      <t>ケイサン</t>
    </rPh>
    <rPh sb="4" eb="5">
      <t>ヨウ</t>
    </rPh>
    <rPh sb="6" eb="8">
      <t>ショクヒン</t>
    </rPh>
    <rPh sb="8" eb="10">
      <t>バンゴウ</t>
    </rPh>
    <phoneticPr fontId="3"/>
  </si>
  <si>
    <t>メモ</t>
    <phoneticPr fontId="3"/>
  </si>
  <si>
    <t>Sample No.</t>
    <phoneticPr fontId="3"/>
  </si>
  <si>
    <t>Sample No.</t>
    <phoneticPr fontId="3"/>
  </si>
  <si>
    <t>Sample No.</t>
    <phoneticPr fontId="3"/>
  </si>
  <si>
    <t>【代入設定シート】</t>
  </si>
  <si>
    <t>No</t>
  </si>
  <si>
    <t>代入するシート</t>
  </si>
  <si>
    <t>代入する列</t>
  </si>
  <si>
    <t>代入する行</t>
  </si>
  <si>
    <t>代入方法</t>
  </si>
  <si>
    <t>リスト方向</t>
  </si>
  <si>
    <t>リスト行数</t>
  </si>
  <si>
    <t>リンク項目名</t>
  </si>
  <si>
    <t>備考</t>
  </si>
  <si>
    <t>原料情報１</t>
  </si>
  <si>
    <t>代入</t>
  </si>
  <si>
    <t>縦</t>
  </si>
  <si>
    <t>品名1</t>
  </si>
  <si>
    <t>ＳＥＱ1</t>
  </si>
  <si>
    <t>リスト</t>
  </si>
  <si>
    <t>品コード1</t>
  </si>
  <si>
    <t>原料名1</t>
  </si>
  <si>
    <t>配合1</t>
  </si>
  <si>
    <t>歩留1</t>
  </si>
  <si>
    <t>表示案情報1</t>
  </si>
  <si>
    <t>添加物情報1</t>
  </si>
  <si>
    <t>栄養計算用　食品番号1</t>
  </si>
  <si>
    <t>メモ1</t>
  </si>
  <si>
    <t>合計重量タイトル1</t>
  </si>
  <si>
    <t>合計重量1</t>
  </si>
  <si>
    <t>原料情報２</t>
  </si>
  <si>
    <t>品名2</t>
  </si>
  <si>
    <t>ＳＥＱ2</t>
  </si>
  <si>
    <t>品コード2</t>
  </si>
  <si>
    <t>原料名2</t>
  </si>
  <si>
    <t>配合2</t>
  </si>
  <si>
    <t>歩留2</t>
  </si>
  <si>
    <t>表示案情報2</t>
  </si>
  <si>
    <t>添加物情報2</t>
  </si>
  <si>
    <t>栄養計算用　食品番号2</t>
  </si>
  <si>
    <t>メモ2</t>
  </si>
  <si>
    <t>合計重量タイトル2</t>
  </si>
  <si>
    <t>合計重量2</t>
  </si>
  <si>
    <t>原料情報３</t>
  </si>
  <si>
    <t>品名3</t>
  </si>
  <si>
    <t>ＳＥＱ3</t>
  </si>
  <si>
    <t>品コード3</t>
  </si>
  <si>
    <t>原料名3</t>
  </si>
  <si>
    <t>配合3</t>
  </si>
  <si>
    <t>歩留3</t>
  </si>
  <si>
    <t>表示案情報3</t>
  </si>
  <si>
    <t>添加物情報3</t>
  </si>
  <si>
    <t>栄養計算用　食品番号3</t>
  </si>
  <si>
    <t>メモ3</t>
  </si>
  <si>
    <t>合計重量タイトル3</t>
  </si>
  <si>
    <t>合計重量3</t>
  </si>
  <si>
    <t>原料情報４</t>
  </si>
  <si>
    <t>品名4</t>
  </si>
  <si>
    <t>ＳＥＱ4</t>
  </si>
  <si>
    <t>品コード4</t>
  </si>
  <si>
    <t>原料名4</t>
  </si>
  <si>
    <t>配合4</t>
  </si>
  <si>
    <t>代入orリスト</t>
  </si>
  <si>
    <t>歩留4</t>
  </si>
  <si>
    <t>表示案情報4</t>
  </si>
  <si>
    <t>横</t>
  </si>
  <si>
    <t>添加物情報4</t>
  </si>
  <si>
    <t>栄養計算用　食品番号4</t>
  </si>
  <si>
    <t>メモ4</t>
  </si>
  <si>
    <t>合計重量タイトル4</t>
  </si>
  <si>
    <t>合計重量4</t>
  </si>
  <si>
    <t>表示案１</t>
  </si>
  <si>
    <t>保存方法1</t>
  </si>
  <si>
    <t>生産工場1</t>
  </si>
  <si>
    <t>賞味期間1</t>
  </si>
  <si>
    <t>容器1</t>
  </si>
  <si>
    <t>容量1</t>
  </si>
  <si>
    <t>製法番号1</t>
  </si>
  <si>
    <t>一括表示の名称1</t>
  </si>
  <si>
    <t>試作品コード1</t>
  </si>
  <si>
    <t>作成日1</t>
  </si>
  <si>
    <t>グループ1</t>
  </si>
  <si>
    <t>名前1</t>
  </si>
  <si>
    <t>表示案２</t>
  </si>
  <si>
    <t>保存方法2</t>
  </si>
  <si>
    <t>生産工場2</t>
  </si>
  <si>
    <t>賞味期間2</t>
  </si>
  <si>
    <t>容器2</t>
  </si>
  <si>
    <t>容量2</t>
  </si>
  <si>
    <t>製法番号2</t>
  </si>
  <si>
    <t>一括表示の名称2</t>
  </si>
  <si>
    <t>試作品コード2</t>
  </si>
  <si>
    <t>作成日2</t>
  </si>
  <si>
    <t>グループ2</t>
  </si>
  <si>
    <t>名前2</t>
  </si>
  <si>
    <t>表示案３</t>
  </si>
  <si>
    <t>保存方法3</t>
  </si>
  <si>
    <t>生産工場3</t>
  </si>
  <si>
    <t>賞味期間3</t>
  </si>
  <si>
    <t>容器3</t>
  </si>
  <si>
    <t>容量3</t>
  </si>
  <si>
    <t>製法番号3</t>
  </si>
  <si>
    <t>一括表示の名称3</t>
  </si>
  <si>
    <t>試作品コード3</t>
  </si>
  <si>
    <t>作成日3</t>
  </si>
  <si>
    <t>グループ3</t>
  </si>
  <si>
    <t>名前3</t>
  </si>
  <si>
    <t>表示案４</t>
  </si>
  <si>
    <t>保存方法4</t>
  </si>
  <si>
    <t>生産工場4</t>
  </si>
  <si>
    <t>賞味期間4</t>
  </si>
  <si>
    <t>容器4</t>
  </si>
  <si>
    <t>容量4</t>
  </si>
  <si>
    <t>製法番号4</t>
  </si>
  <si>
    <t>一括表示の名称4</t>
  </si>
  <si>
    <t>試作品コード4</t>
  </si>
  <si>
    <t>作成日4</t>
  </si>
  <si>
    <t>グループ4</t>
  </si>
  <si>
    <t>名前4</t>
  </si>
  <si>
    <t>サンプル説明書</t>
  </si>
  <si>
    <t>作成日</t>
  </si>
  <si>
    <t>グループ</t>
  </si>
  <si>
    <t>名前</t>
  </si>
  <si>
    <t>原料
コード</t>
  </si>
  <si>
    <t>原 料 名</t>
  </si>
  <si>
    <t>表示案候補</t>
  </si>
  <si>
    <t>添加物情報</t>
  </si>
  <si>
    <t>配合量    (kg)</t>
  </si>
  <si>
    <t>清水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</si>
  <si>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</si>
  <si>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</si>
  <si>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</si>
  <si>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</si>
  <si>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</si>
  <si>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</si>
  <si>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</si>
  <si>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</si>
  <si>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</si>
  <si>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</si>
  <si>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</si>
  <si>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</si>
  <si>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</si>
  <si>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</si>
  <si>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</si>
  <si>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</si>
  <si>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</si>
  <si>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</si>
  <si>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</si>
  <si>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</si>
  <si>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</si>
  <si>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</si>
  <si>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</si>
  <si>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</si>
  <si>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</si>
  <si>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</si>
  <si>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</si>
  <si>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</si>
  <si>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</si>
  <si>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</si>
  <si>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□は食品添加物</t>
  </si>
  <si>
    <t>項目別合計</t>
  </si>
  <si>
    <t>配合(%)</t>
  </si>
  <si>
    <t>表示順位</t>
  </si>
  <si>
    <t>保存方法</t>
  </si>
  <si>
    <t>生産工場</t>
  </si>
  <si>
    <t>印</t>
  </si>
  <si>
    <t xml:space="preserve">賞味期間     </t>
  </si>
  <si>
    <t xml:space="preserve">容器 </t>
  </si>
  <si>
    <t>容量</t>
  </si>
  <si>
    <t>一括表示の名称</t>
  </si>
  <si>
    <t/>
  </si>
  <si>
    <t>原料名</t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</si>
  <si>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</si>
  <si>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</si>
  <si>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</si>
  <si>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</si>
  <si>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製法番号</t>
    <rPh sb="0" eb="2">
      <t>セイホウ</t>
    </rPh>
    <rPh sb="2" eb="4">
      <t>バンゴウ</t>
    </rPh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</si>
  <si>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</si>
  <si>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</si>
  <si>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</si>
  <si>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</si>
  <si>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</si>
  <si>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</si>
  <si>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</si>
  <si>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</si>
  <si>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</si>
  <si>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</si>
  <si>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</si>
  <si>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</si>
  <si>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</si>
  <si>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</si>
  <si>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</si>
  <si>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</si>
  <si>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</si>
  <si>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</si>
  <si>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</si>
  <si>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</si>
  <si>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</si>
  <si>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</si>
  <si>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</si>
  <si>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</si>
  <si>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</si>
  <si>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</si>
  <si>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ｻﾝﾌﾟﾙNo.</t>
    <phoneticPr fontId="3"/>
  </si>
  <si>
    <t xml:space="preserve">   [表示順位案]   </t>
    <phoneticPr fontId="3"/>
  </si>
  <si>
    <t>作成日：</t>
    <phoneticPr fontId="3"/>
  </si>
  <si>
    <t xml:space="preserve">作成者： </t>
    <phoneticPr fontId="3"/>
  </si>
  <si>
    <t>マヨネーズ</t>
    <phoneticPr fontId="3"/>
  </si>
  <si>
    <t>サラダクリーミードレッシング</t>
    <phoneticPr fontId="3"/>
  </si>
  <si>
    <t>半固体状ドレ</t>
    <phoneticPr fontId="3"/>
  </si>
  <si>
    <t>乳化液状ドレッシング</t>
    <phoneticPr fontId="3"/>
  </si>
  <si>
    <t>分離液状ドレッシング</t>
    <phoneticPr fontId="3"/>
  </si>
  <si>
    <t>ドレッシングタイプ調味料</t>
    <phoneticPr fontId="3"/>
  </si>
  <si>
    <t>研究所</t>
    <rPh sb="0" eb="3">
      <t>ケンキュウジョ</t>
    </rPh>
    <phoneticPr fontId="3"/>
  </si>
  <si>
    <t>名前　　　　　　　　　　　　　　　</t>
    <rPh sb="0" eb="2">
      <t>ナマエ</t>
    </rPh>
    <phoneticPr fontId="3"/>
  </si>
  <si>
    <t>サンプルNo.</t>
    <phoneticPr fontId="3"/>
  </si>
  <si>
    <t>配合量</t>
    <rPh sb="0" eb="2">
      <t>ハイゴウ</t>
    </rPh>
    <rPh sb="2" eb="3">
      <t>リョウ</t>
    </rPh>
    <phoneticPr fontId="3"/>
  </si>
  <si>
    <t>清水</t>
    <rPh sb="0" eb="2">
      <t>セイスイ</t>
    </rPh>
    <phoneticPr fontId="3"/>
  </si>
  <si>
    <t>合計</t>
    <rPh sb="0" eb="2">
      <t>ゴウケイ</t>
    </rPh>
    <phoneticPr fontId="3"/>
  </si>
  <si>
    <t>☆ 製品特徴 ☆</t>
    <rPh sb="2" eb="4">
      <t>セイヒン</t>
    </rPh>
    <rPh sb="4" eb="6">
      <t>トクチョウ</t>
    </rPh>
    <phoneticPr fontId="3"/>
  </si>
  <si>
    <t>・ラボ試作品での情報となります。　実ライン品で若干の配合変更</t>
    <rPh sb="3" eb="6">
      <t>シサクヒン</t>
    </rPh>
    <rPh sb="8" eb="10">
      <t>ジョウホウ</t>
    </rPh>
    <rPh sb="17" eb="18">
      <t>ジツ</t>
    </rPh>
    <rPh sb="21" eb="22">
      <t>ヒン</t>
    </rPh>
    <rPh sb="23" eb="25">
      <t>ジャッカン</t>
    </rPh>
    <rPh sb="26" eb="28">
      <t>ハイゴウ</t>
    </rPh>
    <rPh sb="28" eb="30">
      <t>ヘンコウ</t>
    </rPh>
    <phoneticPr fontId="3"/>
  </si>
  <si>
    <t>　が生じる場合がありますのでご了承ください。</t>
    <rPh sb="2" eb="3">
      <t>ショウ</t>
    </rPh>
    <rPh sb="5" eb="7">
      <t>バアイ</t>
    </rPh>
    <rPh sb="15" eb="17">
      <t>リョウショウ</t>
    </rPh>
    <phoneticPr fontId="3"/>
  </si>
  <si>
    <t>A</t>
    <phoneticPr fontId="3"/>
  </si>
  <si>
    <t>%以上を表示する。</t>
    <rPh sb="1" eb="3">
      <t>イジョウ</t>
    </rPh>
    <rPh sb="4" eb="6">
      <t>ヒョウジ</t>
    </rPh>
    <phoneticPr fontId="3"/>
  </si>
  <si>
    <t>A</t>
    <phoneticPr fontId="3"/>
  </si>
  <si>
    <t>B</t>
    <phoneticPr fontId="3"/>
  </si>
  <si>
    <t>小数点以下桁数</t>
    <rPh sb="0" eb="3">
      <t>ショウスウテン</t>
    </rPh>
    <rPh sb="3" eb="5">
      <t>イカ</t>
    </rPh>
    <rPh sb="5" eb="7">
      <t>ケタスウ</t>
    </rPh>
    <phoneticPr fontId="3"/>
  </si>
  <si>
    <t>B</t>
    <phoneticPr fontId="3"/>
  </si>
  <si>
    <t>※</t>
    <phoneticPr fontId="3"/>
  </si>
  <si>
    <t>原則はＡ＝３、</t>
    <rPh sb="0" eb="2">
      <t>ゲンソク</t>
    </rPh>
    <phoneticPr fontId="3"/>
  </si>
  <si>
    <t>※</t>
    <phoneticPr fontId="3"/>
  </si>
  <si>
    <t>Ｂ＝０　です。</t>
    <phoneticPr fontId="3"/>
  </si>
  <si>
    <t>G-Mer表示案情報</t>
    <rPh sb="5" eb="7">
      <t>ヒョウジ</t>
    </rPh>
    <rPh sb="7" eb="8">
      <t>アン</t>
    </rPh>
    <rPh sb="8" eb="10">
      <t>ジョウホウ</t>
    </rPh>
    <phoneticPr fontId="3"/>
  </si>
  <si>
    <t>G-Merアレルギー情報</t>
    <rPh sb="10" eb="12">
      <t>ジョウホウ</t>
    </rPh>
    <phoneticPr fontId="3"/>
  </si>
  <si>
    <t>G-Merアレルギー情報</t>
    <phoneticPr fontId="3"/>
  </si>
  <si>
    <t>G-Mer添加物情報
(表示要)</t>
    <rPh sb="5" eb="8">
      <t>テンカブツ</t>
    </rPh>
    <rPh sb="8" eb="10">
      <t>ジョウホウ</t>
    </rPh>
    <rPh sb="12" eb="14">
      <t>ヒョウジ</t>
    </rPh>
    <rPh sb="14" eb="15">
      <t>ヨウ</t>
    </rPh>
    <phoneticPr fontId="3"/>
  </si>
  <si>
    <t>G-Mer添加物情報
(表示不要)</t>
    <rPh sb="5" eb="8">
      <t>テンカブツ</t>
    </rPh>
    <rPh sb="8" eb="10">
      <t>ジョウホウ</t>
    </rPh>
    <rPh sb="12" eb="14">
      <t>ヒョウジ</t>
    </rPh>
    <rPh sb="14" eb="16">
      <t>フヨウ</t>
    </rPh>
    <phoneticPr fontId="3"/>
  </si>
  <si>
    <t>G-Merアレルギー情報
(表示要)</t>
    <rPh sb="10" eb="12">
      <t>ジョウホウ</t>
    </rPh>
    <rPh sb="14" eb="16">
      <t>ヒョウジ</t>
    </rPh>
    <rPh sb="16" eb="17">
      <t>ヨウ</t>
    </rPh>
    <phoneticPr fontId="3"/>
  </si>
  <si>
    <t>G-Merアレルギー情報
(表示不要)</t>
    <rPh sb="10" eb="12">
      <t>ジョウホウ</t>
    </rPh>
    <rPh sb="14" eb="16">
      <t>ヒョウジ</t>
    </rPh>
    <rPh sb="16" eb="18">
      <t>フヨウ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</si>
</sst>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00_);[Red]\(0.000\)"/>
    <numFmt numFmtId="178" formatCode="0.000%"/>
    <numFmt numFmtId="179" formatCode="0.0%"/>
    <numFmt numFmtId="180" formatCode="0_ "/>
  </numFmts>
  <fonts count="1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0" fillId="0" borderId="1" xfId="0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Alignment="1">
      <alignment horizontal="left" wrapText="1"/>
    </xf>
    <xf numFmtId="0" fontId="0" fillId="0" borderId="0" xfId="0" applyFill="1"/>
    <xf numFmtId="0" fontId="6" fillId="0" borderId="0" xfId="0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/>
    <xf numFmtId="0" fontId="7" fillId="0" borderId="0" xfId="0" applyFont="1" applyBorder="1"/>
    <xf numFmtId="0" fontId="0" fillId="0" borderId="0" xfId="0" applyBorder="1"/>
    <xf numFmtId="0" fontId="1" fillId="0" borderId="0" xfId="0" applyFont="1" applyBorder="1"/>
    <xf numFmtId="49" fontId="1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 wrapText="1"/>
    </xf>
    <xf numFmtId="0" fontId="1" fillId="0" borderId="0" xfId="0" applyFont="1" applyFill="1" applyBorder="1"/>
    <xf numFmtId="0" fontId="7" fillId="0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7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8" fillId="0" borderId="0" xfId="0" applyFont="1"/>
    <xf numFmtId="0" fontId="9" fillId="0" borderId="0" xfId="0" applyFont="1" applyBorder="1" applyAlignment="1">
      <alignment horizontal="left" indent="1"/>
    </xf>
    <xf numFmtId="0" fontId="7" fillId="0" borderId="2" xfId="0" applyFont="1" applyBorder="1" applyAlignment="1">
      <alignment horizontal="center" vertical="center"/>
    </xf>
    <xf numFmtId="0" fontId="0" fillId="0" borderId="2" xfId="0" applyNumberFormat="1" applyBorder="1" applyAlignment="1">
      <alignment vertical="center"/>
    </xf>
    <xf numFmtId="0" fontId="6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3" xfId="0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vertical="center"/>
    </xf>
    <xf numFmtId="0" fontId="6" fillId="0" borderId="2" xfId="0" applyNumberFormat="1" applyFont="1" applyFill="1" applyBorder="1" applyAlignment="1">
      <alignment vertical="center"/>
    </xf>
    <xf numFmtId="0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0" fillId="0" borderId="0" xfId="0" applyFill="1" applyBorder="1" applyAlignment="1">
      <alignment horizontal="left" wrapText="1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8" fillId="0" borderId="0" xfId="0" applyFont="1" applyFill="1"/>
    <xf numFmtId="0" fontId="6" fillId="0" borderId="0" xfId="0" applyNumberFormat="1" applyFont="1" applyFill="1"/>
    <xf numFmtId="58" fontId="6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8" fillId="0" borderId="10" xfId="0" applyFont="1" applyFill="1" applyBorder="1" applyAlignment="1">
      <alignment vertical="center"/>
    </xf>
    <xf numFmtId="0" fontId="7" fillId="0" borderId="11" xfId="0" applyFont="1" applyFill="1" applyBorder="1" applyAlignment="1">
      <alignment horizontal="left" vertical="center"/>
    </xf>
    <xf numFmtId="0" fontId="10" fillId="0" borderId="11" xfId="0" applyFont="1" applyFill="1" applyBorder="1" applyAlignment="1">
      <alignment horizontal="left" vertical="center"/>
    </xf>
    <xf numFmtId="0" fontId="10" fillId="3" borderId="12" xfId="0" applyFont="1" applyFill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176" fontId="7" fillId="0" borderId="11" xfId="0" applyNumberFormat="1" applyFont="1" applyFill="1" applyBorder="1" applyAlignment="1">
      <alignment horizontal="center" vertical="center"/>
    </xf>
    <xf numFmtId="177" fontId="7" fillId="0" borderId="13" xfId="0" applyNumberFormat="1" applyFont="1" applyFill="1" applyBorder="1" applyAlignment="1">
      <alignment horizontal="center"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7" fillId="0" borderId="16" xfId="0" applyFont="1" applyFill="1" applyBorder="1" applyAlignment="1">
      <alignment horizontal="left" vertical="center"/>
    </xf>
    <xf numFmtId="0" fontId="10" fillId="0" borderId="17" xfId="0" applyFont="1" applyFill="1" applyBorder="1" applyAlignment="1">
      <alignment horizontal="left" vertical="center"/>
    </xf>
    <xf numFmtId="0" fontId="10" fillId="3" borderId="18" xfId="0" applyFont="1" applyFill="1" applyBorder="1" applyAlignment="1">
      <alignment horizontal="left" vertical="center"/>
    </xf>
    <xf numFmtId="0" fontId="10" fillId="0" borderId="18" xfId="0" applyFont="1" applyFill="1" applyBorder="1" applyAlignment="1">
      <alignment horizontal="left" vertical="center"/>
    </xf>
    <xf numFmtId="176" fontId="7" fillId="0" borderId="17" xfId="0" applyNumberFormat="1" applyFont="1" applyFill="1" applyBorder="1" applyAlignment="1">
      <alignment horizontal="center" vertical="center"/>
    </xf>
    <xf numFmtId="177" fontId="7" fillId="0" borderId="1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7" fillId="0" borderId="17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left" vertical="center"/>
    </xf>
    <xf numFmtId="176" fontId="7" fillId="4" borderId="17" xfId="0" applyNumberFormat="1" applyFont="1" applyFill="1" applyBorder="1" applyAlignment="1">
      <alignment horizontal="center" vertical="center"/>
    </xf>
    <xf numFmtId="177" fontId="7" fillId="4" borderId="1" xfId="0" applyNumberFormat="1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/>
    </xf>
    <xf numFmtId="0" fontId="10" fillId="0" borderId="19" xfId="0" applyFont="1" applyFill="1" applyBorder="1" applyAlignment="1">
      <alignment horizontal="left" vertical="center"/>
    </xf>
    <xf numFmtId="10" fontId="10" fillId="0" borderId="17" xfId="0" applyNumberFormat="1" applyFont="1" applyFill="1" applyBorder="1" applyAlignment="1">
      <alignment horizontal="left" vertical="center"/>
    </xf>
    <xf numFmtId="10" fontId="10" fillId="3" borderId="18" xfId="0" applyNumberFormat="1" applyFont="1" applyFill="1" applyBorder="1" applyAlignment="1">
      <alignment horizontal="left" vertical="center"/>
    </xf>
    <xf numFmtId="10" fontId="10" fillId="0" borderId="18" xfId="0" applyNumberFormat="1" applyFont="1" applyFill="1" applyBorder="1" applyAlignment="1">
      <alignment horizontal="left" vertical="center"/>
    </xf>
    <xf numFmtId="0" fontId="7" fillId="0" borderId="22" xfId="0" applyFont="1" applyFill="1" applyBorder="1" applyAlignment="1">
      <alignment horizontal="left" vertical="center"/>
    </xf>
    <xf numFmtId="0" fontId="10" fillId="0" borderId="22" xfId="0" applyFont="1" applyFill="1" applyBorder="1" applyAlignment="1">
      <alignment horizontal="left" vertical="center"/>
    </xf>
    <xf numFmtId="0" fontId="10" fillId="3" borderId="23" xfId="0" applyFont="1" applyFill="1" applyBorder="1" applyAlignment="1">
      <alignment horizontal="left" vertical="center"/>
    </xf>
    <xf numFmtId="0" fontId="10" fillId="0" borderId="24" xfId="0" applyFont="1" applyFill="1" applyBorder="1" applyAlignment="1">
      <alignment horizontal="left" vertical="center"/>
    </xf>
    <xf numFmtId="0" fontId="7" fillId="0" borderId="14" xfId="0" applyFont="1" applyBorder="1"/>
    <xf numFmtId="0" fontId="7" fillId="0" borderId="25" xfId="0" applyFont="1" applyBorder="1" applyAlignment="1">
      <alignment vertical="center"/>
    </xf>
    <xf numFmtId="0" fontId="7" fillId="5" borderId="15" xfId="0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176" fontId="7" fillId="6" borderId="11" xfId="0" applyNumberFormat="1" applyFont="1" applyFill="1" applyBorder="1" applyAlignment="1">
      <alignment horizontal="center" vertical="center"/>
    </xf>
    <xf numFmtId="176" fontId="7" fillId="0" borderId="26" xfId="0" applyNumberFormat="1" applyFont="1" applyFill="1" applyBorder="1" applyAlignment="1">
      <alignment horizontal="center" vertical="center"/>
    </xf>
    <xf numFmtId="176" fontId="7" fillId="0" borderId="27" xfId="0" applyNumberFormat="1" applyFont="1" applyFill="1" applyBorder="1" applyAlignment="1">
      <alignment horizontal="center" vertical="center"/>
    </xf>
    <xf numFmtId="0" fontId="7" fillId="0" borderId="19" xfId="0" applyFont="1" applyBorder="1"/>
    <xf numFmtId="0" fontId="8" fillId="5" borderId="20" xfId="0" applyFont="1" applyFill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178" fontId="7" fillId="6" borderId="16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3" xfId="0" applyFont="1" applyBorder="1"/>
    <xf numFmtId="0" fontId="7" fillId="5" borderId="4" xfId="0" applyFont="1" applyFill="1" applyBorder="1" applyAlignment="1">
      <alignment vertic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5" borderId="0" xfId="0" applyFill="1" applyBorder="1"/>
    <xf numFmtId="0" fontId="0" fillId="5" borderId="9" xfId="0" applyFill="1" applyBorder="1"/>
    <xf numFmtId="0" fontId="7" fillId="0" borderId="25" xfId="0" applyFont="1" applyBorder="1"/>
    <xf numFmtId="0" fontId="7" fillId="0" borderId="15" xfId="0" applyFont="1" applyBorder="1"/>
    <xf numFmtId="0" fontId="7" fillId="0" borderId="19" xfId="0" applyFont="1" applyBorder="1" applyAlignment="1">
      <alignment vertical="center"/>
    </xf>
    <xf numFmtId="0" fontId="7" fillId="0" borderId="0" xfId="0" applyFont="1" applyAlignment="1" applyProtection="1">
      <alignment vertical="center"/>
    </xf>
    <xf numFmtId="0" fontId="7" fillId="0" borderId="0" xfId="0" applyFont="1"/>
    <xf numFmtId="0" fontId="7" fillId="0" borderId="0" xfId="0" applyFont="1" applyAlignment="1">
      <alignment horizontal="left" wrapText="1"/>
    </xf>
    <xf numFmtId="14" fontId="0" fillId="0" borderId="0" xfId="0" applyNumberFormat="1"/>
    <xf numFmtId="0" fontId="7" fillId="0" borderId="3" xfId="0" applyFont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2" xfId="0" applyFont="1" applyBorder="1"/>
    <xf numFmtId="0" fontId="7" fillId="0" borderId="4" xfId="0" applyFont="1" applyBorder="1"/>
    <xf numFmtId="0" fontId="9" fillId="0" borderId="0" xfId="0" applyFont="1" applyBorder="1"/>
    <xf numFmtId="0" fontId="9" fillId="0" borderId="2" xfId="0" applyFont="1" applyBorder="1"/>
    <xf numFmtId="0" fontId="7" fillId="0" borderId="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wrapText="1"/>
    </xf>
    <xf numFmtId="31" fontId="0" fillId="0" borderId="0" xfId="0" applyNumberFormat="1"/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6" xfId="0" applyFont="1" applyFill="1" applyBorder="1" applyAlignment="1">
      <alignment horizontal="left" vertical="center"/>
    </xf>
    <xf numFmtId="0" fontId="0" fillId="0" borderId="10" xfId="0" applyBorder="1"/>
    <xf numFmtId="0" fontId="0" fillId="0" borderId="6" xfId="0" applyBorder="1"/>
    <xf numFmtId="0" fontId="0" fillId="0" borderId="9" xfId="0" applyBorder="1"/>
    <xf numFmtId="0" fontId="7" fillId="0" borderId="6" xfId="0" applyFont="1" applyBorder="1" applyAlignment="1">
      <alignment horizontal="left"/>
    </xf>
    <xf numFmtId="0" fontId="7" fillId="0" borderId="6" xfId="0" applyNumberFormat="1" applyFont="1" applyFill="1" applyBorder="1" applyAlignment="1">
      <alignment horizontal="left" vertical="center"/>
    </xf>
    <xf numFmtId="0" fontId="0" fillId="0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 wrapText="1"/>
    </xf>
    <xf numFmtId="0" fontId="0" fillId="7" borderId="1" xfId="0" applyFill="1" applyBorder="1"/>
    <xf numFmtId="0" fontId="13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/>
    <xf numFmtId="0" fontId="0" fillId="8" borderId="14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0" xfId="0" applyFill="1" applyBorder="1"/>
    <xf numFmtId="0" fontId="0" fillId="8" borderId="0" xfId="0" applyFill="1"/>
    <xf numFmtId="0" fontId="6" fillId="0" borderId="5" xfId="0" applyNumberFormat="1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177" fontId="7" fillId="4" borderId="13" xfId="0" applyNumberFormat="1" applyFont="1" applyFill="1" applyBorder="1" applyAlignment="1">
      <alignment horizontal="center" vertical="center"/>
    </xf>
    <xf numFmtId="176" fontId="7" fillId="3" borderId="17" xfId="0" applyNumberFormat="1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left" vertical="center"/>
    </xf>
    <xf numFmtId="0" fontId="7" fillId="0" borderId="32" xfId="0" applyFont="1" applyBorder="1"/>
    <xf numFmtId="0" fontId="0" fillId="0" borderId="32" xfId="0" applyBorder="1"/>
    <xf numFmtId="0" fontId="8" fillId="0" borderId="0" xfId="0" applyFont="1" applyAlignment="1">
      <alignment horizontal="right"/>
    </xf>
    <xf numFmtId="0" fontId="5" fillId="0" borderId="2" xfId="0" applyNumberFormat="1" applyFont="1" applyBorder="1" applyAlignment="1"/>
    <xf numFmtId="0" fontId="5" fillId="0" borderId="2" xfId="0" applyFont="1" applyBorder="1" applyAlignment="1">
      <alignment horizontal="center"/>
    </xf>
    <xf numFmtId="0" fontId="5" fillId="0" borderId="0" xfId="0" applyNumberFormat="1" applyFont="1" applyBorder="1" applyAlignment="1"/>
    <xf numFmtId="0" fontId="5" fillId="0" borderId="0" xfId="0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179" fontId="1" fillId="0" borderId="36" xfId="1" applyNumberFormat="1" applyBorder="1" applyAlignment="1">
      <alignment horizontal="center"/>
    </xf>
    <xf numFmtId="0" fontId="0" fillId="0" borderId="37" xfId="0" applyBorder="1" applyAlignment="1">
      <alignment horizontal="left" vertical="center"/>
    </xf>
    <xf numFmtId="0" fontId="0" fillId="0" borderId="36" xfId="0" applyBorder="1" applyAlignment="1">
      <alignment horizontal="center"/>
    </xf>
    <xf numFmtId="0" fontId="0" fillId="0" borderId="34" xfId="0" applyBorder="1" applyAlignment="1"/>
    <xf numFmtId="0" fontId="0" fillId="0" borderId="37" xfId="0" applyBorder="1" applyAlignment="1"/>
    <xf numFmtId="0" fontId="0" fillId="0" borderId="38" xfId="0" applyBorder="1" applyAlignment="1"/>
    <xf numFmtId="0" fontId="0" fillId="0" borderId="39" xfId="0" applyBorder="1" applyAlignment="1"/>
    <xf numFmtId="180" fontId="0" fillId="0" borderId="40" xfId="0" applyNumberFormat="1" applyBorder="1" applyAlignment="1">
      <alignment horizontal="center"/>
    </xf>
    <xf numFmtId="0" fontId="0" fillId="0" borderId="41" xfId="0" applyBorder="1" applyAlignment="1"/>
    <xf numFmtId="0" fontId="0" fillId="0" borderId="28" xfId="0" applyBorder="1" applyAlignment="1"/>
    <xf numFmtId="0" fontId="0" fillId="0" borderId="42" xfId="0" applyBorder="1" applyAlignment="1"/>
    <xf numFmtId="0" fontId="11" fillId="0" borderId="0" xfId="0" applyFont="1" applyAlignment="1"/>
    <xf numFmtId="0" fontId="11" fillId="0" borderId="0" xfId="0" applyFont="1"/>
    <xf numFmtId="0" fontId="11" fillId="0" borderId="0" xfId="0" applyFont="1" applyBorder="1" applyAlignment="1"/>
    <xf numFmtId="9" fontId="11" fillId="0" borderId="0" xfId="0" applyNumberFormat="1" applyFont="1" applyBorder="1" applyAlignment="1">
      <alignment horizontal="center"/>
    </xf>
    <xf numFmtId="0" fontId="0" fillId="0" borderId="0" xfId="0" applyBorder="1" applyAlignment="1"/>
    <xf numFmtId="0" fontId="1" fillId="0" borderId="0" xfId="0" applyFont="1" applyBorder="1" applyAlignment="1"/>
    <xf numFmtId="9" fontId="7" fillId="0" borderId="0" xfId="0" applyNumberFormat="1" applyFont="1" applyBorder="1" applyAlignment="1">
      <alignment horizontal="center"/>
    </xf>
    <xf numFmtId="0" fontId="0" fillId="0" borderId="20" xfId="0" applyFill="1" applyBorder="1" applyAlignment="1">
      <alignment horizontal="right"/>
    </xf>
    <xf numFmtId="0" fontId="0" fillId="4" borderId="5" xfId="0" applyFill="1" applyBorder="1"/>
    <xf numFmtId="0" fontId="5" fillId="0" borderId="0" xfId="0" applyFont="1" applyAlignment="1"/>
    <xf numFmtId="0" fontId="0" fillId="0" borderId="0" xfId="0" applyAlignment="1">
      <alignment shrinkToFit="1"/>
    </xf>
    <xf numFmtId="0" fontId="0" fillId="0" borderId="0" xfId="0" applyAlignment="1">
      <alignment horizontal="right"/>
    </xf>
    <xf numFmtId="9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top"/>
    </xf>
    <xf numFmtId="9" fontId="0" fillId="0" borderId="0" xfId="0" applyNumberFormat="1" applyAlignment="1">
      <alignment horizontal="center"/>
    </xf>
    <xf numFmtId="9" fontId="0" fillId="0" borderId="0" xfId="0" applyNumberFormat="1" applyBorder="1"/>
    <xf numFmtId="177" fontId="7" fillId="0" borderId="43" xfId="0" applyNumberFormat="1" applyFont="1" applyFill="1" applyBorder="1" applyAlignment="1">
      <alignment horizontal="center" vertical="center"/>
    </xf>
    <xf numFmtId="177" fontId="1" fillId="0" borderId="44" xfId="0" applyNumberFormat="1" applyFont="1" applyFill="1" applyBorder="1" applyAlignment="1">
      <alignment horizontal="center" vertical="center"/>
    </xf>
    <xf numFmtId="177" fontId="7" fillId="0" borderId="45" xfId="0" applyNumberFormat="1" applyFont="1" applyFill="1" applyBorder="1" applyAlignment="1">
      <alignment horizontal="center" vertical="center"/>
    </xf>
    <xf numFmtId="177" fontId="1" fillId="0" borderId="46" xfId="0" applyNumberFormat="1" applyFont="1" applyFill="1" applyBorder="1" applyAlignment="1">
      <alignment horizontal="center" vertical="center"/>
    </xf>
    <xf numFmtId="177" fontId="7" fillId="4" borderId="45" xfId="0" applyNumberFormat="1" applyFont="1" applyFill="1" applyBorder="1" applyAlignment="1">
      <alignment horizontal="center" vertical="center"/>
    </xf>
    <xf numFmtId="177" fontId="1" fillId="4" borderId="46" xfId="0" applyNumberFormat="1" applyFont="1" applyFill="1" applyBorder="1" applyAlignment="1">
      <alignment horizontal="center" vertical="center"/>
    </xf>
    <xf numFmtId="177" fontId="7" fillId="0" borderId="47" xfId="0" applyNumberFormat="1" applyFont="1" applyFill="1" applyBorder="1" applyAlignment="1">
      <alignment horizontal="center" vertical="center"/>
    </xf>
    <xf numFmtId="177" fontId="7" fillId="0" borderId="48" xfId="0" applyNumberFormat="1" applyFont="1" applyFill="1" applyBorder="1" applyAlignment="1">
      <alignment horizontal="center" vertical="center"/>
    </xf>
    <xf numFmtId="177" fontId="1" fillId="0" borderId="49" xfId="0" applyNumberFormat="1" applyFont="1" applyFill="1" applyBorder="1" applyAlignment="1">
      <alignment horizontal="center" vertical="center"/>
    </xf>
    <xf numFmtId="177" fontId="7" fillId="4" borderId="43" xfId="0" applyNumberFormat="1" applyFont="1" applyFill="1" applyBorder="1" applyAlignment="1">
      <alignment horizontal="center" vertical="center"/>
    </xf>
    <xf numFmtId="177" fontId="1" fillId="4" borderId="44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7" fillId="0" borderId="32" xfId="0" applyFont="1" applyBorder="1" applyAlignment="1">
      <alignment vertical="center"/>
    </xf>
    <xf numFmtId="0" fontId="7" fillId="0" borderId="9" xfId="0" applyFont="1" applyFill="1" applyBorder="1" applyAlignment="1">
      <alignment horizontal="left" vertical="center"/>
    </xf>
    <xf numFmtId="0" fontId="7" fillId="0" borderId="9" xfId="0" applyFont="1" applyBorder="1" applyAlignment="1">
      <alignment horizontal="left"/>
    </xf>
    <xf numFmtId="0" fontId="7" fillId="0" borderId="9" xfId="0" applyNumberFormat="1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6" fillId="3" borderId="6" xfId="0" applyNumberFormat="1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left" vertical="center"/>
    </xf>
    <xf numFmtId="0" fontId="18" fillId="0" borderId="0" xfId="0" applyFont="1" applyAlignment="1"/>
    <xf numFmtId="10" fontId="10" fillId="4" borderId="17" xfId="0" applyNumberFormat="1" applyFont="1" applyFill="1" applyBorder="1" applyAlignment="1">
      <alignment horizontal="left" vertical="center"/>
    </xf>
    <xf numFmtId="10" fontId="10" fillId="4" borderId="18" xfId="0" applyNumberFormat="1" applyFont="1" applyFill="1" applyBorder="1" applyAlignment="1">
      <alignment horizontal="left" vertical="center"/>
    </xf>
    <xf numFmtId="0" fontId="10" fillId="4" borderId="17" xfId="0" applyFont="1" applyFill="1" applyBorder="1" applyAlignment="1">
      <alignment horizontal="left" vertical="center"/>
    </xf>
    <xf numFmtId="0" fontId="10" fillId="4" borderId="18" xfId="0" applyFont="1" applyFill="1" applyBorder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left"/>
    </xf>
    <xf numFmtId="31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1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42" xfId="0" applyBorder="1" applyAlignment="1">
      <alignment horizontal="left" vertical="top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5" Type="http://schemas.openxmlformats.org/officeDocument/2006/relationships/image" Target="../media/image28.emf"/><Relationship Id="rId10" Type="http://schemas.openxmlformats.org/officeDocument/2006/relationships/image" Target="../media/image23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1025" name="cmdHead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1222" name="Group 2">
          <a:extLst>
            <a:ext uri="{FF2B5EF4-FFF2-40B4-BE49-F238E27FC236}">
              <a16:creationId xmlns:a16="http://schemas.microsoft.com/office/drawing/2014/main" id="{00000000-0008-0000-0400-0000C604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1027" name="Rectangle 3">
            <a:extLst>
              <a:ext uri="{FF2B5EF4-FFF2-40B4-BE49-F238E27FC236}">
                <a16:creationId xmlns:a16="http://schemas.microsoft.com/office/drawing/2014/main" id="{00000000-0008-0000-0400-00000304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8" name="Rectangle 4">
            <a:extLst>
              <a:ext uri="{FF2B5EF4-FFF2-40B4-BE49-F238E27FC236}">
                <a16:creationId xmlns:a16="http://schemas.microsoft.com/office/drawing/2014/main" id="{00000000-0008-0000-0400-000004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029" name="Rectangle 5">
            <a:extLst>
              <a:ext uri="{FF2B5EF4-FFF2-40B4-BE49-F238E27FC236}">
                <a16:creationId xmlns:a16="http://schemas.microsoft.com/office/drawing/2014/main" id="{00000000-0008-0000-0400-00000504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1226" name="Line 6">
            <a:extLst>
              <a:ext uri="{FF2B5EF4-FFF2-40B4-BE49-F238E27FC236}">
                <a16:creationId xmlns:a16="http://schemas.microsoft.com/office/drawing/2014/main" id="{00000000-0008-0000-0400-0000CA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7" name="Line 7">
            <a:extLst>
              <a:ext uri="{FF2B5EF4-FFF2-40B4-BE49-F238E27FC236}">
                <a16:creationId xmlns:a16="http://schemas.microsoft.com/office/drawing/2014/main" id="{00000000-0008-0000-0400-0000CB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8" name="Line 8">
            <a:extLst>
              <a:ext uri="{FF2B5EF4-FFF2-40B4-BE49-F238E27FC236}">
                <a16:creationId xmlns:a16="http://schemas.microsoft.com/office/drawing/2014/main" id="{00000000-0008-0000-0400-0000CC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29" name="Line 9">
            <a:extLst>
              <a:ext uri="{FF2B5EF4-FFF2-40B4-BE49-F238E27FC236}">
                <a16:creationId xmlns:a16="http://schemas.microsoft.com/office/drawing/2014/main" id="{00000000-0008-0000-0400-0000CD04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30" name="Line 10">
            <a:extLst>
              <a:ext uri="{FF2B5EF4-FFF2-40B4-BE49-F238E27FC236}">
                <a16:creationId xmlns:a16="http://schemas.microsoft.com/office/drawing/2014/main" id="{00000000-0008-0000-0400-0000CE04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231" name="Line 11">
            <a:extLst>
              <a:ext uri="{FF2B5EF4-FFF2-40B4-BE49-F238E27FC236}">
                <a16:creationId xmlns:a16="http://schemas.microsoft.com/office/drawing/2014/main" id="{00000000-0008-0000-0400-0000CF04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1038" name="CommandButton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1039" name="Command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2248" name="Group 1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2050" name="Rectangle 2">
            <a:extLst>
              <a:ext uri="{FF2B5EF4-FFF2-40B4-BE49-F238E27FC236}">
                <a16:creationId xmlns:a16="http://schemas.microsoft.com/office/drawing/2014/main" id="{00000000-0008-0000-0500-00000208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1" name="Rectangle 3">
            <a:extLst>
              <a:ext uri="{FF2B5EF4-FFF2-40B4-BE49-F238E27FC236}">
                <a16:creationId xmlns:a16="http://schemas.microsoft.com/office/drawing/2014/main" id="{00000000-0008-0000-0500-000003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052" name="Rectangle 4">
            <a:extLst>
              <a:ext uri="{FF2B5EF4-FFF2-40B4-BE49-F238E27FC236}">
                <a16:creationId xmlns:a16="http://schemas.microsoft.com/office/drawing/2014/main" id="{00000000-0008-0000-0500-00000408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2252" name="Line 5">
            <a:extLst>
              <a:ext uri="{FF2B5EF4-FFF2-40B4-BE49-F238E27FC236}">
                <a16:creationId xmlns:a16="http://schemas.microsoft.com/office/drawing/2014/main" id="{00000000-0008-0000-0500-0000CC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3" name="Line 6">
            <a:extLst>
              <a:ext uri="{FF2B5EF4-FFF2-40B4-BE49-F238E27FC236}">
                <a16:creationId xmlns:a16="http://schemas.microsoft.com/office/drawing/2014/main" id="{00000000-0008-0000-0500-0000CD08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4" name="Line 7">
            <a:extLst>
              <a:ext uri="{FF2B5EF4-FFF2-40B4-BE49-F238E27FC236}">
                <a16:creationId xmlns:a16="http://schemas.microsoft.com/office/drawing/2014/main" id="{00000000-0008-0000-0500-0000CE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5" name="Line 8">
            <a:extLst>
              <a:ext uri="{FF2B5EF4-FFF2-40B4-BE49-F238E27FC236}">
                <a16:creationId xmlns:a16="http://schemas.microsoft.com/office/drawing/2014/main" id="{00000000-0008-0000-0500-0000CF08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6" name="Line 9">
            <a:extLst>
              <a:ext uri="{FF2B5EF4-FFF2-40B4-BE49-F238E27FC236}">
                <a16:creationId xmlns:a16="http://schemas.microsoft.com/office/drawing/2014/main" id="{00000000-0008-0000-0500-0000D008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7" name="Line 10">
            <a:extLst>
              <a:ext uri="{FF2B5EF4-FFF2-40B4-BE49-F238E27FC236}">
                <a16:creationId xmlns:a16="http://schemas.microsoft.com/office/drawing/2014/main" id="{00000000-0008-0000-0500-0000D108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2060" name="CommandButton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2061" name="CommandButton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2062" name="cmdHeadSe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2063" name="cmdCop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5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2064" name="CommandButton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2065" name="CommandButton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3274" name="Group 1">
          <a:extLst>
            <a:ext uri="{FF2B5EF4-FFF2-40B4-BE49-F238E27FC236}">
              <a16:creationId xmlns:a16="http://schemas.microsoft.com/office/drawing/2014/main" id="{00000000-0008-0000-0600-0000CA0C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3074" name="Rectangle 2">
            <a:extLst>
              <a:ext uri="{FF2B5EF4-FFF2-40B4-BE49-F238E27FC236}">
                <a16:creationId xmlns:a16="http://schemas.microsoft.com/office/drawing/2014/main" id="{00000000-0008-0000-0600-0000020C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5" name="Rectangle 3">
            <a:extLst>
              <a:ext uri="{FF2B5EF4-FFF2-40B4-BE49-F238E27FC236}">
                <a16:creationId xmlns:a16="http://schemas.microsoft.com/office/drawing/2014/main" id="{00000000-0008-0000-0600-000003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076" name="Rectangle 4">
            <a:extLst>
              <a:ext uri="{FF2B5EF4-FFF2-40B4-BE49-F238E27FC236}">
                <a16:creationId xmlns:a16="http://schemas.microsoft.com/office/drawing/2014/main" id="{00000000-0008-0000-0600-0000040C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3278" name="Line 5">
            <a:extLst>
              <a:ext uri="{FF2B5EF4-FFF2-40B4-BE49-F238E27FC236}">
                <a16:creationId xmlns:a16="http://schemas.microsoft.com/office/drawing/2014/main" id="{00000000-0008-0000-0600-0000CE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79" name="Line 6">
            <a:extLst>
              <a:ext uri="{FF2B5EF4-FFF2-40B4-BE49-F238E27FC236}">
                <a16:creationId xmlns:a16="http://schemas.microsoft.com/office/drawing/2014/main" id="{00000000-0008-0000-0600-0000CF0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0" name="Line 7">
            <a:extLst>
              <a:ext uri="{FF2B5EF4-FFF2-40B4-BE49-F238E27FC236}">
                <a16:creationId xmlns:a16="http://schemas.microsoft.com/office/drawing/2014/main" id="{00000000-0008-0000-0600-0000D0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1" name="Line 8">
            <a:extLst>
              <a:ext uri="{FF2B5EF4-FFF2-40B4-BE49-F238E27FC236}">
                <a16:creationId xmlns:a16="http://schemas.microsoft.com/office/drawing/2014/main" id="{00000000-0008-0000-0600-0000D10C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2" name="Line 9">
            <a:extLst>
              <a:ext uri="{FF2B5EF4-FFF2-40B4-BE49-F238E27FC236}">
                <a16:creationId xmlns:a16="http://schemas.microsoft.com/office/drawing/2014/main" id="{00000000-0008-0000-0600-0000D20C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3283" name="Line 10">
            <a:extLst>
              <a:ext uri="{FF2B5EF4-FFF2-40B4-BE49-F238E27FC236}">
                <a16:creationId xmlns:a16="http://schemas.microsoft.com/office/drawing/2014/main" id="{00000000-0008-0000-0600-0000D30C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3083" name="CommandButton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3084" name="CommandButton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3085" name="CommandButton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3086" name="cmdHeadSet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3087" name="cmdCopy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3088" name="CommandButton4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3089" name="CommandButton5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6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3090" name="CommandButton6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6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3091" name="CommandButton7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6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1857375</xdr:colOff>
      <xdr:row>2</xdr:row>
      <xdr:rowOff>161925</xdr:rowOff>
    </xdr:to>
    <xdr:grpSp>
      <xdr:nvGrpSpPr>
        <xdr:cNvPr id="4300" name="Group 1">
          <a:extLst>
            <a:ext uri="{FF2B5EF4-FFF2-40B4-BE49-F238E27FC236}">
              <a16:creationId xmlns:a16="http://schemas.microsoft.com/office/drawing/2014/main" id="{00000000-0008-0000-0700-0000CC100000}"/>
            </a:ext>
          </a:extLst>
        </xdr:cNvPr>
        <xdr:cNvGrpSpPr>
          <a:grpSpLocks/>
        </xdr:cNvGrpSpPr>
      </xdr:nvGrpSpPr>
      <xdr:grpSpPr bwMode="auto">
        <a:xfrm>
          <a:off x="57150" y="66675"/>
          <a:ext cx="2435225" cy="527050"/>
          <a:chOff x="573" y="52"/>
          <a:chExt cx="321" cy="107"/>
        </a:xfrm>
      </xdr:grpSpPr>
      <xdr:sp macro="" textlink="">
        <xdr:nvSpPr>
          <xdr:cNvPr id="4098" name="Rectangle 2">
            <a:extLst>
              <a:ext uri="{FF2B5EF4-FFF2-40B4-BE49-F238E27FC236}">
                <a16:creationId xmlns:a16="http://schemas.microsoft.com/office/drawing/2014/main" id="{00000000-0008-0000-0700-000002100000}"/>
              </a:ext>
            </a:extLst>
          </xdr:cNvPr>
          <xdr:cNvSpPr>
            <a:spLocks noChangeArrowheads="1"/>
          </xdr:cNvSpPr>
        </xdr:nvSpPr>
        <xdr:spPr bwMode="auto">
          <a:xfrm>
            <a:off x="671" y="107"/>
            <a:ext cx="223" cy="5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研究所開発担当部署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099" name="Rectangle 3">
            <a:extLst>
              <a:ext uri="{FF2B5EF4-FFF2-40B4-BE49-F238E27FC236}">
                <a16:creationId xmlns:a16="http://schemas.microsoft.com/office/drawing/2014/main" id="{00000000-0008-0000-0700-000003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107"/>
            <a:ext cx="98" cy="52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rPr>
              <a:t>開示範囲</a:t>
            </a: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  <a:p>
            <a:pPr algn="l" rtl="0">
              <a:defRPr sz="1000"/>
            </a:pPr>
            <a:endParaRPr lang="ja-JP" altLang="en-US" sz="1400" b="0" i="0" u="none" strike="noStrike" baseline="0">
              <a:solidFill>
                <a:srgbClr val="000000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100" name="Rectangle 4">
            <a:extLst>
              <a:ext uri="{FF2B5EF4-FFF2-40B4-BE49-F238E27FC236}">
                <a16:creationId xmlns:a16="http://schemas.microsoft.com/office/drawing/2014/main" id="{00000000-0008-0000-0700-000004100000}"/>
              </a:ext>
            </a:extLst>
          </xdr:cNvPr>
          <xdr:cNvSpPr>
            <a:spLocks noChangeArrowheads="1"/>
          </xdr:cNvSpPr>
        </xdr:nvSpPr>
        <xdr:spPr bwMode="auto">
          <a:xfrm>
            <a:off x="573" y="52"/>
            <a:ext cx="300" cy="57"/>
          </a:xfrm>
          <a:prstGeom prst="rect">
            <a:avLst/>
          </a:prstGeom>
          <a:solidFill>
            <a:srgbClr val="FF00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lnSpc>
                <a:spcPts val="1900"/>
              </a:lnSpc>
              <a:defRPr sz="1000"/>
            </a:pPr>
            <a:r>
              <a:rPr lang="ja-JP" altLang="en-US" sz="1600" b="0" i="0" u="none" strike="noStrike" baseline="0">
                <a:solidFill>
                  <a:srgbClr val="FFFFFF"/>
                </a:solidFill>
                <a:latin typeface="HGS創英角ｺﾞｼｯｸUB"/>
                <a:ea typeface="HGS創英角ｺﾞｼｯｸUB"/>
              </a:rPr>
              <a:t>レベル１</a:t>
            </a: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  <a:p>
            <a:pPr algn="l" rtl="0">
              <a:lnSpc>
                <a:spcPts val="2200"/>
              </a:lnSpc>
              <a:defRPr sz="1000"/>
            </a:pPr>
            <a:endParaRPr lang="ja-JP" altLang="en-US" sz="1800" b="0" i="0" u="none" strike="noStrike" baseline="0">
              <a:solidFill>
                <a:srgbClr val="FFFFFF"/>
              </a:solidFill>
              <a:latin typeface="HGS創英角ｺﾞｼｯｸUB"/>
              <a:ea typeface="HGS創英角ｺﾞｼｯｸUB"/>
            </a:endParaRPr>
          </a:p>
        </xdr:txBody>
      </xdr:sp>
      <xdr:sp macro="" textlink="">
        <xdr:nvSpPr>
          <xdr:cNvPr id="4304" name="Line 5">
            <a:extLst>
              <a:ext uri="{FF2B5EF4-FFF2-40B4-BE49-F238E27FC236}">
                <a16:creationId xmlns:a16="http://schemas.microsoft.com/office/drawing/2014/main" id="{00000000-0008-0000-0700-0000D0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300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5" name="Line 6">
            <a:extLst>
              <a:ext uri="{FF2B5EF4-FFF2-40B4-BE49-F238E27FC236}">
                <a16:creationId xmlns:a16="http://schemas.microsoft.com/office/drawing/2014/main" id="{00000000-0008-0000-0700-0000D11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73" y="107"/>
            <a:ext cx="299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6" name="Line 7">
            <a:extLst>
              <a:ext uri="{FF2B5EF4-FFF2-40B4-BE49-F238E27FC236}">
                <a16:creationId xmlns:a16="http://schemas.microsoft.com/office/drawing/2014/main" id="{00000000-0008-0000-0700-0000D2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159"/>
            <a:ext cx="297" cy="0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7" name="Line 8">
            <a:extLst>
              <a:ext uri="{FF2B5EF4-FFF2-40B4-BE49-F238E27FC236}">
                <a16:creationId xmlns:a16="http://schemas.microsoft.com/office/drawing/2014/main" id="{00000000-0008-0000-0700-0000D3100000}"/>
              </a:ext>
            </a:extLst>
          </xdr:cNvPr>
          <xdr:cNvSpPr>
            <a:spLocks noChangeShapeType="1"/>
          </xdr:cNvSpPr>
        </xdr:nvSpPr>
        <xdr:spPr bwMode="auto">
          <a:xfrm>
            <a:off x="5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8" name="Line 9">
            <a:extLst>
              <a:ext uri="{FF2B5EF4-FFF2-40B4-BE49-F238E27FC236}">
                <a16:creationId xmlns:a16="http://schemas.microsoft.com/office/drawing/2014/main" id="{00000000-0008-0000-0700-0000D4100000}"/>
              </a:ext>
            </a:extLst>
          </xdr:cNvPr>
          <xdr:cNvSpPr>
            <a:spLocks noChangeShapeType="1"/>
          </xdr:cNvSpPr>
        </xdr:nvSpPr>
        <xdr:spPr bwMode="auto">
          <a:xfrm>
            <a:off x="873" y="52"/>
            <a:ext cx="0" cy="107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4309" name="Line 10">
            <a:extLst>
              <a:ext uri="{FF2B5EF4-FFF2-40B4-BE49-F238E27FC236}">
                <a16:creationId xmlns:a16="http://schemas.microsoft.com/office/drawing/2014/main" id="{00000000-0008-0000-0700-0000D5100000}"/>
              </a:ext>
            </a:extLst>
          </xdr:cNvPr>
          <xdr:cNvSpPr>
            <a:spLocks noChangeShapeType="1"/>
          </xdr:cNvSpPr>
        </xdr:nvSpPr>
        <xdr:spPr bwMode="auto">
          <a:xfrm>
            <a:off x="671" y="107"/>
            <a:ext cx="0" cy="5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2</xdr:row>
          <xdr:rowOff>0</xdr:rowOff>
        </xdr:from>
        <xdr:to>
          <xdr:col>3</xdr:col>
          <xdr:colOff>990600</xdr:colOff>
          <xdr:row>3</xdr:row>
          <xdr:rowOff>66675</xdr:rowOff>
        </xdr:to>
        <xdr:sp macro="" textlink="">
          <xdr:nvSpPr>
            <xdr:cNvPr id="4107" name="CommandButton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76200</xdr:rowOff>
        </xdr:from>
        <xdr:to>
          <xdr:col>9</xdr:col>
          <xdr:colOff>161925</xdr:colOff>
          <xdr:row>1</xdr:row>
          <xdr:rowOff>219075</xdr:rowOff>
        </xdr:to>
        <xdr:sp macro="" textlink="">
          <xdr:nvSpPr>
            <xdr:cNvPr id="4108" name="CommandButton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9</xdr:col>
          <xdr:colOff>428625</xdr:colOff>
          <xdr:row>3</xdr:row>
          <xdr:rowOff>66675</xdr:rowOff>
        </xdr:to>
        <xdr:sp macro="" textlink="">
          <xdr:nvSpPr>
            <xdr:cNvPr id="4109" name="CommandButton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7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0</xdr:row>
          <xdr:rowOff>76200</xdr:rowOff>
        </xdr:from>
        <xdr:to>
          <xdr:col>3</xdr:col>
          <xdr:colOff>990600</xdr:colOff>
          <xdr:row>1</xdr:row>
          <xdr:rowOff>219075</xdr:rowOff>
        </xdr:to>
        <xdr:sp macro="" textlink="">
          <xdr:nvSpPr>
            <xdr:cNvPr id="4110" name="cmdHeadSet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0</xdr:row>
          <xdr:rowOff>76200</xdr:rowOff>
        </xdr:from>
        <xdr:to>
          <xdr:col>4</xdr:col>
          <xdr:colOff>152400</xdr:colOff>
          <xdr:row>1</xdr:row>
          <xdr:rowOff>219075</xdr:rowOff>
        </xdr:to>
        <xdr:sp macro="" textlink="">
          <xdr:nvSpPr>
            <xdr:cNvPr id="4111" name="cmdCopy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76200</xdr:rowOff>
        </xdr:from>
        <xdr:to>
          <xdr:col>12</xdr:col>
          <xdr:colOff>523875</xdr:colOff>
          <xdr:row>1</xdr:row>
          <xdr:rowOff>219075</xdr:rowOff>
        </xdr:to>
        <xdr:sp macro="" textlink="">
          <xdr:nvSpPr>
            <xdr:cNvPr id="4112" name="CommandButton4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0</xdr:row>
          <xdr:rowOff>76200</xdr:rowOff>
        </xdr:from>
        <xdr:to>
          <xdr:col>4</xdr:col>
          <xdr:colOff>1323975</xdr:colOff>
          <xdr:row>1</xdr:row>
          <xdr:rowOff>219075</xdr:rowOff>
        </xdr:to>
        <xdr:sp macro="" textlink="">
          <xdr:nvSpPr>
            <xdr:cNvPr id="4113" name="CommandButton5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2</xdr:row>
          <xdr:rowOff>0</xdr:rowOff>
        </xdr:from>
        <xdr:to>
          <xdr:col>4</xdr:col>
          <xdr:colOff>152400</xdr:colOff>
          <xdr:row>3</xdr:row>
          <xdr:rowOff>66675</xdr:rowOff>
        </xdr:to>
        <xdr:sp macro="" textlink="">
          <xdr:nvSpPr>
            <xdr:cNvPr id="4114" name="CommandButton6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7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2</xdr:row>
          <xdr:rowOff>0</xdr:rowOff>
        </xdr:from>
        <xdr:to>
          <xdr:col>4</xdr:col>
          <xdr:colOff>1323975</xdr:colOff>
          <xdr:row>3</xdr:row>
          <xdr:rowOff>66675</xdr:rowOff>
        </xdr:to>
        <xdr:sp macro="" textlink="">
          <xdr:nvSpPr>
            <xdr:cNvPr id="4115" name="CommandButton7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7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76200</xdr:rowOff>
        </xdr:from>
        <xdr:to>
          <xdr:col>5</xdr:col>
          <xdr:colOff>857250</xdr:colOff>
          <xdr:row>1</xdr:row>
          <xdr:rowOff>219075</xdr:rowOff>
        </xdr:to>
        <xdr:sp macro="" textlink="">
          <xdr:nvSpPr>
            <xdr:cNvPr id="4116" name="CommandButton8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7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2</xdr:row>
          <xdr:rowOff>0</xdr:rowOff>
        </xdr:from>
        <xdr:to>
          <xdr:col>5</xdr:col>
          <xdr:colOff>857250</xdr:colOff>
          <xdr:row>3</xdr:row>
          <xdr:rowOff>66675</xdr:rowOff>
        </xdr:to>
        <xdr:sp macro="" textlink="">
          <xdr:nvSpPr>
            <xdr:cNvPr id="4117" name="CommandButton9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7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0</xdr:rowOff>
    </xdr:from>
    <xdr:to>
      <xdr:col>3</xdr:col>
      <xdr:colOff>600075</xdr:colOff>
      <xdr:row>3</xdr:row>
      <xdr:rowOff>95250</xdr:rowOff>
    </xdr:to>
    <xdr:grpSp>
      <xdr:nvGrpSpPr>
        <xdr:cNvPr id="5350" name="Group 1">
          <a:extLst>
            <a:ext uri="{FF2B5EF4-FFF2-40B4-BE49-F238E27FC236}">
              <a16:creationId xmlns:a16="http://schemas.microsoft.com/office/drawing/2014/main" id="{00000000-0008-0000-0800-0000E6140000}"/>
            </a:ext>
          </a:extLst>
        </xdr:cNvPr>
        <xdr:cNvGrpSpPr>
          <a:grpSpLocks/>
        </xdr:cNvGrpSpPr>
      </xdr:nvGrpSpPr>
      <xdr:grpSpPr bwMode="auto">
        <a:xfrm>
          <a:off x="266700" y="177800"/>
          <a:ext cx="3813175" cy="450850"/>
          <a:chOff x="19" y="17"/>
          <a:chExt cx="397" cy="44"/>
        </a:xfrm>
      </xdr:grpSpPr>
      <xdr:sp macro="" textlink="">
        <xdr:nvSpPr>
          <xdr:cNvPr id="5351" name="Line 2">
            <a:extLst>
              <a:ext uri="{FF2B5EF4-FFF2-40B4-BE49-F238E27FC236}">
                <a16:creationId xmlns:a16="http://schemas.microsoft.com/office/drawing/2014/main" id="{00000000-0008-0000-0800-0000E7140000}"/>
              </a:ext>
            </a:extLst>
          </xdr:cNvPr>
          <xdr:cNvSpPr>
            <a:spLocks noChangeShapeType="1"/>
          </xdr:cNvSpPr>
        </xdr:nvSpPr>
        <xdr:spPr bwMode="auto">
          <a:xfrm>
            <a:off x="19" y="18"/>
            <a:ext cx="0" cy="43"/>
          </a:xfrm>
          <a:prstGeom prst="line">
            <a:avLst/>
          </a:prstGeom>
          <a:noFill/>
          <a:ln w="28575" cap="sq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grpSp>
        <xdr:nvGrpSpPr>
          <xdr:cNvPr id="5352" name="Group 3">
            <a:extLst>
              <a:ext uri="{FF2B5EF4-FFF2-40B4-BE49-F238E27FC236}">
                <a16:creationId xmlns:a16="http://schemas.microsoft.com/office/drawing/2014/main" id="{00000000-0008-0000-0800-0000E8140000}"/>
              </a:ext>
            </a:extLst>
          </xdr:cNvPr>
          <xdr:cNvGrpSpPr>
            <a:grpSpLocks/>
          </xdr:cNvGrpSpPr>
        </xdr:nvGrpSpPr>
        <xdr:grpSpPr bwMode="auto">
          <a:xfrm>
            <a:off x="19" y="17"/>
            <a:ext cx="397" cy="44"/>
            <a:chOff x="19" y="17"/>
            <a:chExt cx="397" cy="44"/>
          </a:xfrm>
        </xdr:grpSpPr>
        <xdr:sp macro="" textlink="">
          <xdr:nvSpPr>
            <xdr:cNvPr id="5124" name="Rectangle 4">
              <a:extLs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" y="18"/>
              <a:ext cx="361" cy="2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00" mc:Ignorable="a14" a14:legacySpreadsheetColorIndex="1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 w="9525" algn="ctr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0" tIns="0" rIns="0" bIns="0" anchor="t" upright="1"/>
            <a:lstStyle/>
            <a:p>
              <a:pPr algn="ctr" rtl="0">
                <a:lnSpc>
                  <a:spcPts val="2100"/>
                </a:lnSpc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rPr>
                <a:t>レベル２</a:t>
              </a:r>
            </a:p>
            <a:p>
              <a:pPr algn="ctr" rtl="0">
                <a:lnSpc>
                  <a:spcPts val="2000"/>
                </a:lnSpc>
                <a:defRPr sz="1000"/>
              </a:pPr>
              <a:endParaRPr lang="ja-JP" altLang="en-US" sz="1800" b="0" i="0" u="none" strike="noStrike" baseline="0">
                <a:solidFill>
                  <a:srgbClr val="000000"/>
                </a:solidFill>
                <a:latin typeface="HGS創英角ｺﾞｼｯｸUB"/>
                <a:ea typeface="HGS創英角ｺﾞｼｯｸUB"/>
              </a:endParaRPr>
            </a:p>
          </xdr:txBody>
        </xdr:sp>
        <xdr:sp macro="" textlink="">
          <xdr:nvSpPr>
            <xdr:cNvPr id="5355" name="Line 5">
              <a:extLst>
                <a:ext uri="{FF2B5EF4-FFF2-40B4-BE49-F238E27FC236}">
                  <a16:creationId xmlns:a16="http://schemas.microsoft.com/office/drawing/2014/main" id="{00000000-0008-0000-0800-0000EB14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9" y="40"/>
              <a:ext cx="359" cy="0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71842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grpSp>
          <xdr:nvGrpSpPr>
            <xdr:cNvPr id="5356" name="Group 6">
              <a:extLst>
                <a:ext uri="{FF2B5EF4-FFF2-40B4-BE49-F238E27FC236}">
                  <a16:creationId xmlns:a16="http://schemas.microsoft.com/office/drawing/2014/main" id="{00000000-0008-0000-0800-0000EC1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" y="17"/>
              <a:ext cx="397" cy="44"/>
              <a:chOff x="19" y="17"/>
              <a:chExt cx="397" cy="44"/>
            </a:xfrm>
          </xdr:grpSpPr>
          <xdr:sp macro="" textlink="">
            <xdr:nvSpPr>
              <xdr:cNvPr id="5127" name="Rectangle 7">
                <a:extLst>
                  <a:ext uri="{FF2B5EF4-FFF2-40B4-BE49-F238E27FC236}">
                    <a16:creationId xmlns:a16="http://schemas.microsoft.com/office/drawing/2014/main" id="{00000000-0008-0000-0800-000007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07" y="40"/>
                <a:ext cx="309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サンプル説明書取扱い関係者</a:t>
                </a:r>
              </a:p>
            </xdr:txBody>
          </xdr:sp>
          <xdr:sp macro="" textlink="">
            <xdr:nvSpPr>
              <xdr:cNvPr id="5128" name="Rectangle 8">
                <a:extLst>
                  <a:ext uri="{FF2B5EF4-FFF2-40B4-BE49-F238E27FC236}">
                    <a16:creationId xmlns:a16="http://schemas.microsoft.com/office/drawing/2014/main" id="{00000000-0008-0000-0800-0000081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9" y="40"/>
                <a:ext cx="88" cy="2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BBE0E3"/>
                    </a:solidFill>
                  </a14:hiddenFill>
                </a:ext>
                <a:ext uri="{91240B29-F687-4F45-9708-019B960494DF}">
                  <a14:hiddenLine xmlns:a14="http://schemas.microsoft.com/office/drawing/2010/main" w="9525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0" tIns="0" rIns="0" bIns="0" anchor="t" upright="1"/>
              <a:lstStyle/>
              <a:p>
                <a:pPr algn="ctr" rtl="0">
                  <a:lnSpc>
                    <a:spcPts val="1700"/>
                  </a:lnSpc>
                  <a:defRPr sz="1000"/>
                </a:pPr>
                <a:r>
                  <a:rPr lang="ja-JP" altLang="en-US" sz="1400" b="0" i="0" u="none" strike="noStrike" baseline="0">
                    <a:solidFill>
                      <a:srgbClr val="000000"/>
                    </a:solidFill>
                    <a:latin typeface="HGS創英角ｺﾞｼｯｸUB"/>
                    <a:ea typeface="HGS創英角ｺﾞｼｯｸUB"/>
                  </a:rPr>
                  <a:t>開示範囲</a:t>
                </a:r>
              </a:p>
              <a:p>
                <a:pPr algn="ctr" rtl="0">
                  <a:lnSpc>
                    <a:spcPts val="1700"/>
                  </a:lnSpc>
                  <a:defRPr sz="1000"/>
                </a:pPr>
                <a:endParaRPr lang="ja-JP" altLang="en-US" sz="1400" b="0" i="0" u="none" strike="noStrike" baseline="0">
                  <a:solidFill>
                    <a:srgbClr val="000000"/>
                  </a:solidFill>
                  <a:latin typeface="HGS創英角ｺﾞｼｯｸUB"/>
                  <a:ea typeface="HGS創英角ｺﾞｼｯｸUB"/>
                </a:endParaRPr>
              </a:p>
            </xdr:txBody>
          </xdr:sp>
          <xdr:sp macro="" textlink="">
            <xdr:nvSpPr>
              <xdr:cNvPr id="5359" name="Line 9">
                <a:extLst>
                  <a:ext uri="{FF2B5EF4-FFF2-40B4-BE49-F238E27FC236}">
                    <a16:creationId xmlns:a16="http://schemas.microsoft.com/office/drawing/2014/main" id="{00000000-0008-0000-0800-0000EF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9" y="17"/>
                <a:ext cx="361" cy="1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360" name="Line 10">
                <a:extLst>
                  <a:ext uri="{FF2B5EF4-FFF2-40B4-BE49-F238E27FC236}">
                    <a16:creationId xmlns:a16="http://schemas.microsoft.com/office/drawing/2014/main" id="{00000000-0008-0000-0800-0000F0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9" y="61"/>
                <a:ext cx="362" cy="0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  <xdr:sp macro="" textlink="">
            <xdr:nvSpPr>
              <xdr:cNvPr id="5361" name="Line 11">
                <a:extLst>
                  <a:ext uri="{FF2B5EF4-FFF2-40B4-BE49-F238E27FC236}">
                    <a16:creationId xmlns:a16="http://schemas.microsoft.com/office/drawing/2014/main" id="{00000000-0008-0000-0800-0000F11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378" y="18"/>
                <a:ext cx="2" cy="43"/>
              </a:xfrm>
              <a:prstGeom prst="line">
                <a:avLst/>
              </a:prstGeom>
              <a:noFill/>
              <a:ln w="28575" cap="sq">
                <a:solidFill>
                  <a:srgbClr val="000000"/>
                </a:solidFill>
                <a:round/>
                <a:headEnd/>
                <a:tailEnd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71842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xdr:grpSp>
      </xdr:grpSp>
      <xdr:sp macro="" textlink="">
        <xdr:nvSpPr>
          <xdr:cNvPr id="5353" name="Line 12">
            <a:extLst>
              <a:ext uri="{FF2B5EF4-FFF2-40B4-BE49-F238E27FC236}">
                <a16:creationId xmlns:a16="http://schemas.microsoft.com/office/drawing/2014/main" id="{00000000-0008-0000-0800-0000E9140000}"/>
              </a:ext>
            </a:extLst>
          </xdr:cNvPr>
          <xdr:cNvSpPr>
            <a:spLocks noChangeShapeType="1"/>
          </xdr:cNvSpPr>
        </xdr:nvSpPr>
        <xdr:spPr bwMode="auto">
          <a:xfrm>
            <a:off x="107" y="40"/>
            <a:ext cx="0" cy="21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71842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82</xdr:row>
          <xdr:rowOff>123825</xdr:rowOff>
        </xdr:from>
        <xdr:to>
          <xdr:col>2</xdr:col>
          <xdr:colOff>1790700</xdr:colOff>
          <xdr:row>84</xdr:row>
          <xdr:rowOff>66675</xdr:rowOff>
        </xdr:to>
        <xdr:sp macro="" textlink="">
          <xdr:nvSpPr>
            <xdr:cNvPr id="5133" name="cmdOutputEigyo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18" Type="http://schemas.openxmlformats.org/officeDocument/2006/relationships/control" Target="../activeX/activeX29.xml"/><Relationship Id="rId26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20" Type="http://schemas.openxmlformats.org/officeDocument/2006/relationships/control" Target="../activeX/activeX3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24" Type="http://schemas.openxmlformats.org/officeDocument/2006/relationships/control" Target="../activeX/activeX32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10" Type="http://schemas.openxmlformats.org/officeDocument/2006/relationships/control" Target="../activeX/activeX25.xml"/><Relationship Id="rId19" Type="http://schemas.openxmlformats.org/officeDocument/2006/relationships/image" Target="../media/image29.emf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Relationship Id="rId22" Type="http://schemas.openxmlformats.org/officeDocument/2006/relationships/control" Target="../activeX/activeX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zoomScale="85" zoomScaleNormal="85" workbookViewId="0"/>
  </sheetViews>
  <sheetFormatPr defaultRowHeight="13.5" x14ac:dyDescent="0.15"/>
  <cols>
    <col min="1" max="1" width="11.875" style="9" customWidth="1"/>
    <col min="2" max="2" width="46.625" style="10" customWidth="1"/>
    <col min="3" max="4" width="13.875" style="3" customWidth="1"/>
    <col min="5" max="6" width="18" style="4" customWidth="1"/>
    <col min="7" max="11" width="20.75" style="4" customWidth="1"/>
    <col min="12" max="12" width="21.75" style="4" customWidth="1"/>
    <col min="13" max="13" width="9" style="4"/>
  </cols>
  <sheetData>
    <row r="1" spans="1:13" x14ac:dyDescent="0.15">
      <c r="A1" s="1" t="s">
        <v>0</v>
      </c>
      <c r="B1" s="2"/>
      <c r="F1" s="211"/>
      <c r="H1" s="211"/>
      <c r="I1" s="211"/>
      <c r="J1" s="211"/>
      <c r="K1" s="211"/>
    </row>
    <row r="2" spans="1:13" x14ac:dyDescent="0.15">
      <c r="A2" s="1" t="s">
        <v>1</v>
      </c>
      <c r="B2" s="2"/>
    </row>
    <row r="3" spans="1:13" s="8" customFormat="1" ht="27" x14ac:dyDescent="0.15">
      <c r="A3" s="5" t="s">
        <v>2</v>
      </c>
      <c r="B3" s="6" t="s">
        <v>3</v>
      </c>
      <c r="C3" s="7" t="s">
        <v>4</v>
      </c>
      <c r="D3" s="7" t="s">
        <v>5</v>
      </c>
      <c r="E3" s="5" t="s">
        <v>6</v>
      </c>
      <c r="F3" s="5" t="s">
        <v>241</v>
      </c>
      <c r="G3" s="5" t="s">
        <v>7</v>
      </c>
      <c r="H3" s="224" t="s">
        <v>244</v>
      </c>
      <c r="I3" s="224" t="s">
        <v>245</v>
      </c>
      <c r="J3" s="224" t="s">
        <v>246</v>
      </c>
      <c r="K3" s="224" t="s">
        <v>247</v>
      </c>
      <c r="L3" s="5" t="s">
        <v>8</v>
      </c>
      <c r="M3" s="5" t="s">
        <v>9</v>
      </c>
    </row>
  </sheetData>
  <phoneticPr fontId="3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"/>
  <sheetViews>
    <sheetView zoomScale="85" zoomScaleNormal="85" workbookViewId="0"/>
  </sheetViews>
  <sheetFormatPr defaultRowHeight="13.5" x14ac:dyDescent="0.15"/>
  <cols>
    <col min="1" max="1" width="11.875" style="9" customWidth="1"/>
    <col min="2" max="2" width="46.625" style="10" customWidth="1"/>
    <col min="3" max="4" width="13.875" style="3" customWidth="1"/>
    <col min="5" max="6" width="18" style="4" customWidth="1"/>
    <col min="7" max="11" width="20.75" style="4" customWidth="1"/>
    <col min="12" max="12" width="21.75" style="4" customWidth="1"/>
    <col min="13" max="13" width="9" style="4"/>
  </cols>
  <sheetData>
    <row r="1" spans="1:13" x14ac:dyDescent="0.15">
      <c r="A1" s="1" t="s">
        <v>0</v>
      </c>
      <c r="B1" s="2"/>
      <c r="F1" s="211"/>
      <c r="H1" s="211"/>
      <c r="I1" s="211"/>
      <c r="J1" s="211"/>
      <c r="K1" s="211"/>
    </row>
    <row r="2" spans="1:13" x14ac:dyDescent="0.15">
      <c r="A2" s="1" t="s">
        <v>10</v>
      </c>
      <c r="B2" s="2"/>
    </row>
    <row r="3" spans="1:13" s="8" customFormat="1" ht="27" x14ac:dyDescent="0.15">
      <c r="A3" s="5" t="s">
        <v>2</v>
      </c>
      <c r="B3" s="6" t="s">
        <v>3</v>
      </c>
      <c r="C3" s="7" t="s">
        <v>4</v>
      </c>
      <c r="D3" s="7" t="s">
        <v>5</v>
      </c>
      <c r="E3" s="5" t="s">
        <v>6</v>
      </c>
      <c r="F3" s="5" t="s">
        <v>241</v>
      </c>
      <c r="G3" s="5" t="s">
        <v>7</v>
      </c>
      <c r="H3" s="224" t="s">
        <v>244</v>
      </c>
      <c r="I3" s="224" t="s">
        <v>245</v>
      </c>
      <c r="J3" s="224" t="s">
        <v>246</v>
      </c>
      <c r="K3" s="224" t="s">
        <v>247</v>
      </c>
      <c r="L3" s="5" t="s">
        <v>8</v>
      </c>
      <c r="M3" s="5" t="s">
        <v>9</v>
      </c>
    </row>
  </sheetData>
  <phoneticPr fontId="3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"/>
  <sheetViews>
    <sheetView zoomScale="85" zoomScaleNormal="85" workbookViewId="0"/>
  </sheetViews>
  <sheetFormatPr defaultRowHeight="13.5" x14ac:dyDescent="0.15"/>
  <cols>
    <col min="1" max="1" width="11.875" style="9" customWidth="1"/>
    <col min="2" max="2" width="46.625" style="10" customWidth="1"/>
    <col min="3" max="4" width="13.875" style="3" customWidth="1"/>
    <col min="5" max="6" width="18" style="4" customWidth="1"/>
    <col min="7" max="11" width="20.75" style="4" customWidth="1"/>
    <col min="12" max="12" width="21.75" style="4" customWidth="1"/>
    <col min="13" max="13" width="9" style="4"/>
  </cols>
  <sheetData>
    <row r="1" spans="1:13" x14ac:dyDescent="0.15">
      <c r="A1" s="1" t="s">
        <v>0</v>
      </c>
      <c r="B1" s="2"/>
      <c r="F1" s="211"/>
      <c r="H1" s="211"/>
      <c r="I1" s="211"/>
      <c r="J1" s="211"/>
      <c r="K1" s="211"/>
    </row>
    <row r="2" spans="1:13" x14ac:dyDescent="0.15">
      <c r="A2" s="1" t="s">
        <v>11</v>
      </c>
      <c r="B2" s="2"/>
    </row>
    <row r="3" spans="1:13" s="8" customFormat="1" ht="27" x14ac:dyDescent="0.15">
      <c r="A3" s="5" t="s">
        <v>2</v>
      </c>
      <c r="B3" s="6" t="s">
        <v>3</v>
      </c>
      <c r="C3" s="7" t="s">
        <v>4</v>
      </c>
      <c r="D3" s="7" t="s">
        <v>5</v>
      </c>
      <c r="E3" s="5" t="s">
        <v>6</v>
      </c>
      <c r="F3" s="5" t="s">
        <v>241</v>
      </c>
      <c r="G3" s="5" t="s">
        <v>7</v>
      </c>
      <c r="H3" s="224" t="s">
        <v>244</v>
      </c>
      <c r="I3" s="224" t="s">
        <v>245</v>
      </c>
      <c r="J3" s="224" t="s">
        <v>246</v>
      </c>
      <c r="K3" s="224" t="s">
        <v>247</v>
      </c>
      <c r="L3" s="5" t="s">
        <v>8</v>
      </c>
      <c r="M3" s="5" t="s">
        <v>9</v>
      </c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"/>
  <sheetViews>
    <sheetView zoomScale="85" zoomScaleNormal="85" workbookViewId="0"/>
  </sheetViews>
  <sheetFormatPr defaultRowHeight="13.5" x14ac:dyDescent="0.15"/>
  <cols>
    <col min="1" max="1" width="11.875" style="9" customWidth="1"/>
    <col min="2" max="2" width="46.625" style="10" customWidth="1"/>
    <col min="3" max="4" width="13.875" style="3" customWidth="1"/>
    <col min="5" max="6" width="18" style="4" customWidth="1"/>
    <col min="7" max="11" width="20.75" style="4" customWidth="1"/>
    <col min="12" max="12" width="21.75" style="4" customWidth="1"/>
    <col min="13" max="13" width="9" style="4"/>
  </cols>
  <sheetData>
    <row r="1" spans="1:13" x14ac:dyDescent="0.15">
      <c r="A1" s="1" t="s">
        <v>0</v>
      </c>
      <c r="B1" s="2"/>
      <c r="F1" s="211"/>
      <c r="H1" s="211"/>
      <c r="I1" s="211"/>
      <c r="J1" s="211"/>
      <c r="K1" s="211"/>
    </row>
    <row r="2" spans="1:13" x14ac:dyDescent="0.15">
      <c r="A2" s="1" t="s">
        <v>12</v>
      </c>
      <c r="B2" s="2"/>
    </row>
    <row r="3" spans="1:13" s="8" customFormat="1" ht="27" x14ac:dyDescent="0.15">
      <c r="A3" s="5" t="s">
        <v>2</v>
      </c>
      <c r="B3" s="6" t="s">
        <v>3</v>
      </c>
      <c r="C3" s="7" t="s">
        <v>4</v>
      </c>
      <c r="D3" s="7" t="s">
        <v>5</v>
      </c>
      <c r="E3" s="5" t="s">
        <v>6</v>
      </c>
      <c r="F3" s="5" t="s">
        <v>241</v>
      </c>
      <c r="G3" s="5" t="s">
        <v>7</v>
      </c>
      <c r="H3" s="224" t="s">
        <v>244</v>
      </c>
      <c r="I3" s="224" t="s">
        <v>245</v>
      </c>
      <c r="J3" s="224" t="s">
        <v>246</v>
      </c>
      <c r="K3" s="224" t="s">
        <v>247</v>
      </c>
      <c r="L3" s="5" t="s">
        <v>8</v>
      </c>
      <c r="M3" s="5" t="s">
        <v>9</v>
      </c>
    </row>
  </sheetData>
  <phoneticPr fontId="3"/>
  <pageMargins left="0.75" right="0.75" top="1" bottom="1" header="0.51200000000000001" footer="0.5120000000000000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B1:CB1108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 activeCell="A3" sqref="A3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61" x14ac:dyDescent="0.15">
      <c r="D1" s="12"/>
      <c r="E1" s="13"/>
      <c r="F1" s="13"/>
    </row>
    <row r="2" spans="2:61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61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61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61" ht="19.5" customHeight="1" thickBot="1" x14ac:dyDescent="0.2">
      <c r="C5" s="37" t="s">
        <v>0</v>
      </c>
      <c r="D5" s="38" t="str">
        <f>IF(原料情報１!$B1="","",原料情報１!$B1)</f>
        <v/>
      </c>
      <c r="E5" s="39"/>
      <c r="F5" s="39"/>
      <c r="G5" s="40" t="s">
        <v>181</v>
      </c>
      <c r="H5" s="39" t="str">
        <f>IF(原料情報１!$B2="","",原料情報１!$B2)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61" ht="17.25" customHeight="1" thickBot="1" x14ac:dyDescent="0.25">
      <c r="C6" s="44"/>
      <c r="D6" s="44"/>
      <c r="E6" s="45"/>
      <c r="F6" s="216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61" ht="38.25" customHeight="1" thickBot="1" x14ac:dyDescent="0.2">
      <c r="B7" s="52" t="s">
        <v>132</v>
      </c>
      <c r="C7" s="53" t="s">
        <v>133</v>
      </c>
      <c r="D7" s="150" t="s">
        <v>134</v>
      </c>
      <c r="E7" s="54" t="s">
        <v>135</v>
      </c>
      <c r="F7" s="54" t="s">
        <v>243</v>
      </c>
      <c r="G7" s="151" t="s">
        <v>136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137</v>
      </c>
      <c r="BG7" s="59"/>
      <c r="BH7" s="60" t="s">
        <v>182</v>
      </c>
      <c r="BI7" s="13"/>
    </row>
    <row r="8" spans="2:61" ht="21.95" customHeight="1" x14ac:dyDescent="0.15">
      <c r="B8" s="152"/>
      <c r="C8" s="153"/>
      <c r="D8" s="154"/>
      <c r="E8" s="154"/>
      <c r="F8" s="154"/>
      <c r="G8" s="65"/>
      <c r="H8" s="209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55"/>
      <c r="BC8" s="155"/>
      <c r="BD8" s="155"/>
      <c r="BE8" s="155"/>
      <c r="BF8" s="201"/>
      <c r="BG8" s="67" t="s">
        <v>138</v>
      </c>
      <c r="BH8" s="68" t="str">
        <f>IF(H7="","",H7)</f>
        <v/>
      </c>
      <c r="BI8" s="13"/>
    </row>
    <row r="9" spans="2:61" ht="21.95" customHeight="1" x14ac:dyDescent="0.15">
      <c r="B9" s="69"/>
      <c r="C9" s="70"/>
      <c r="D9" s="72"/>
      <c r="E9" s="72"/>
      <c r="F9" s="72"/>
      <c r="G9" s="156"/>
      <c r="H9" s="202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3"/>
      <c r="BG9" s="75" t="s">
        <v>139</v>
      </c>
      <c r="BH9" s="76" t="str">
        <f>IF(I7="","",I7)</f>
        <v/>
      </c>
      <c r="BI9" s="13"/>
    </row>
    <row r="10" spans="2:61" ht="21.95" customHeight="1" x14ac:dyDescent="0.15">
      <c r="B10" s="77"/>
      <c r="C10" s="70"/>
      <c r="D10" s="72"/>
      <c r="E10" s="72"/>
      <c r="F10" s="72"/>
      <c r="G10" s="156"/>
      <c r="H10" s="202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3"/>
      <c r="BG10" s="75" t="s">
        <v>140</v>
      </c>
      <c r="BH10" s="76" t="str">
        <f>IF(J7="","",J7)</f>
        <v/>
      </c>
      <c r="BI10" s="13"/>
    </row>
    <row r="11" spans="2:61" ht="21.95" customHeight="1" x14ac:dyDescent="0.15">
      <c r="B11" s="77"/>
      <c r="C11" s="70"/>
      <c r="D11" s="72"/>
      <c r="E11" s="72"/>
      <c r="F11" s="72"/>
      <c r="G11" s="156"/>
      <c r="H11" s="202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3"/>
      <c r="BG11" s="75" t="s">
        <v>141</v>
      </c>
      <c r="BH11" s="76" t="str">
        <f>IF(K7="","",K7)</f>
        <v/>
      </c>
      <c r="BI11" s="13"/>
    </row>
    <row r="12" spans="2:61" ht="21.95" customHeight="1" x14ac:dyDescent="0.15">
      <c r="B12" s="77"/>
      <c r="C12" s="70"/>
      <c r="D12" s="72"/>
      <c r="E12" s="72"/>
      <c r="F12" s="72"/>
      <c r="G12" s="156"/>
      <c r="H12" s="202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5"/>
      <c r="BG12" s="75" t="s">
        <v>142</v>
      </c>
      <c r="BH12" s="76" t="str">
        <f>IF(L7="","",L7)</f>
        <v/>
      </c>
      <c r="BI12" s="13"/>
    </row>
    <row r="13" spans="2:61" ht="21.95" customHeight="1" x14ac:dyDescent="0.15">
      <c r="B13" s="77"/>
      <c r="C13" s="70"/>
      <c r="D13" s="72"/>
      <c r="E13" s="72"/>
      <c r="F13" s="72"/>
      <c r="G13" s="156"/>
      <c r="H13" s="202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3"/>
      <c r="BG13" s="75" t="s">
        <v>143</v>
      </c>
      <c r="BH13" s="76" t="str">
        <f>IF(M7="","",M7)</f>
        <v/>
      </c>
      <c r="BI13" s="13"/>
    </row>
    <row r="14" spans="2:61" ht="21.95" customHeight="1" x14ac:dyDescent="0.15">
      <c r="B14" s="77"/>
      <c r="C14" s="70"/>
      <c r="D14" s="72"/>
      <c r="E14" s="72"/>
      <c r="F14" s="72"/>
      <c r="G14" s="156"/>
      <c r="H14" s="202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3"/>
      <c r="BG14" s="75" t="s">
        <v>144</v>
      </c>
      <c r="BH14" s="76" t="str">
        <f>IF(N7="","",N7)</f>
        <v/>
      </c>
      <c r="BI14" s="13"/>
    </row>
    <row r="15" spans="2:61" ht="21.95" customHeight="1" x14ac:dyDescent="0.15">
      <c r="B15" s="77"/>
      <c r="C15" s="70"/>
      <c r="D15" s="72"/>
      <c r="E15" s="72"/>
      <c r="F15" s="72"/>
      <c r="G15" s="156"/>
      <c r="H15" s="202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3"/>
      <c r="BG15" s="75" t="s">
        <v>145</v>
      </c>
      <c r="BH15" s="76" t="str">
        <f>IF(O7="","",O7)</f>
        <v/>
      </c>
      <c r="BI15" s="13"/>
    </row>
    <row r="16" spans="2:61" ht="21.95" customHeight="1" x14ac:dyDescent="0.15">
      <c r="B16" s="77"/>
      <c r="C16" s="70"/>
      <c r="D16" s="72"/>
      <c r="E16" s="72"/>
      <c r="F16" s="72"/>
      <c r="G16" s="156"/>
      <c r="H16" s="202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3"/>
      <c r="BG16" s="75" t="s">
        <v>146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2"/>
      <c r="F17" s="72"/>
      <c r="G17" s="156"/>
      <c r="H17" s="202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3"/>
      <c r="BG17" s="75" t="s">
        <v>147</v>
      </c>
      <c r="BH17" s="76" t="str">
        <f>IF(Q7="","",Q7)</f>
        <v/>
      </c>
      <c r="BI17" s="13"/>
    </row>
    <row r="18" spans="2:61" ht="21.95" customHeight="1" x14ac:dyDescent="0.15">
      <c r="B18" s="77"/>
      <c r="C18" s="81"/>
      <c r="D18" s="83"/>
      <c r="E18" s="83"/>
      <c r="F18" s="83"/>
      <c r="G18" s="156"/>
      <c r="H18" s="202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3"/>
      <c r="BG18" s="75" t="s">
        <v>148</v>
      </c>
      <c r="BH18" s="76" t="str">
        <f>IF(R7="","",R7)</f>
        <v/>
      </c>
      <c r="BI18" s="13"/>
    </row>
    <row r="19" spans="2:61" ht="21.95" customHeight="1" x14ac:dyDescent="0.15">
      <c r="B19" s="77"/>
      <c r="C19" s="84"/>
      <c r="D19" s="86"/>
      <c r="E19" s="86"/>
      <c r="F19" s="86"/>
      <c r="G19" s="156"/>
      <c r="H19" s="202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3"/>
      <c r="BG19" s="75" t="s">
        <v>149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2"/>
      <c r="F20" s="72"/>
      <c r="G20" s="156"/>
      <c r="H20" s="202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3"/>
      <c r="BG20" s="75" t="s">
        <v>150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2"/>
      <c r="F21" s="72"/>
      <c r="G21" s="156"/>
      <c r="H21" s="202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3"/>
      <c r="BG21" s="75" t="s">
        <v>151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2"/>
      <c r="F22" s="72"/>
      <c r="G22" s="156"/>
      <c r="H22" s="202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3"/>
      <c r="BG22" s="75" t="s">
        <v>152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2"/>
      <c r="F23" s="72"/>
      <c r="G23" s="156"/>
      <c r="H23" s="202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3"/>
      <c r="BG23" s="75" t="s">
        <v>153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2"/>
      <c r="F24" s="72"/>
      <c r="G24" s="156"/>
      <c r="H24" s="202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3"/>
      <c r="BG24" s="75" t="s">
        <v>154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2"/>
      <c r="F25" s="72"/>
      <c r="G25" s="156"/>
      <c r="H25" s="202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3"/>
      <c r="BG25" s="75" t="s">
        <v>155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2"/>
      <c r="F26" s="72"/>
      <c r="G26" s="156"/>
      <c r="H26" s="202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3"/>
      <c r="BG26" s="75" t="s">
        <v>156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2"/>
      <c r="F27" s="72"/>
      <c r="G27" s="156"/>
      <c r="H27" s="202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3"/>
      <c r="BG27" s="75" t="s">
        <v>157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2"/>
      <c r="F28" s="72"/>
      <c r="G28" s="156"/>
      <c r="H28" s="202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3"/>
      <c r="BG28" s="75" t="s">
        <v>158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2"/>
      <c r="F29" s="72"/>
      <c r="G29" s="156"/>
      <c r="H29" s="202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3"/>
      <c r="BG29" s="75" t="s">
        <v>159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2"/>
      <c r="F30" s="72"/>
      <c r="G30" s="156"/>
      <c r="H30" s="202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3"/>
      <c r="BG30" s="75" t="s">
        <v>160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2"/>
      <c r="F31" s="72"/>
      <c r="G31" s="156"/>
      <c r="H31" s="202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3"/>
      <c r="BG31" s="75" t="s">
        <v>161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2"/>
      <c r="F32" s="72"/>
      <c r="G32" s="156"/>
      <c r="H32" s="202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3"/>
      <c r="BG32" s="75" t="s">
        <v>162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2"/>
      <c r="F33" s="72"/>
      <c r="G33" s="156"/>
      <c r="H33" s="202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3"/>
      <c r="BG33" s="75" t="s">
        <v>163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2"/>
      <c r="F34" s="72"/>
      <c r="G34" s="156"/>
      <c r="H34" s="202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3"/>
      <c r="BG34" s="75" t="s">
        <v>164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2"/>
      <c r="F35" s="72"/>
      <c r="G35" s="156"/>
      <c r="H35" s="202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3"/>
      <c r="BG35" s="75" t="s">
        <v>165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2"/>
      <c r="F36" s="72"/>
      <c r="G36" s="156"/>
      <c r="H36" s="202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3"/>
      <c r="BG36" s="75" t="s">
        <v>166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2"/>
      <c r="F37" s="72"/>
      <c r="G37" s="156"/>
      <c r="H37" s="202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3"/>
      <c r="BG37" s="75" t="s">
        <v>167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2"/>
      <c r="F38" s="72"/>
      <c r="G38" s="156"/>
      <c r="H38" s="202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3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2"/>
      <c r="F39" s="72"/>
      <c r="G39" s="156"/>
      <c r="H39" s="202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3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2"/>
      <c r="F40" s="72"/>
      <c r="G40" s="156"/>
      <c r="H40" s="202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3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2"/>
      <c r="F41" s="72"/>
      <c r="G41" s="156"/>
      <c r="H41" s="202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3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2"/>
      <c r="F42" s="72"/>
      <c r="G42" s="156"/>
      <c r="H42" s="202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3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2"/>
      <c r="F43" s="72"/>
      <c r="G43" s="156"/>
      <c r="H43" s="202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3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2"/>
      <c r="F44" s="72"/>
      <c r="G44" s="156"/>
      <c r="H44" s="202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3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2"/>
      <c r="F45" s="72"/>
      <c r="G45" s="156"/>
      <c r="H45" s="202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3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2"/>
      <c r="F46" s="72"/>
      <c r="G46" s="156"/>
      <c r="H46" s="202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3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2"/>
      <c r="F47" s="72"/>
      <c r="G47" s="156"/>
      <c r="H47" s="202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3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2"/>
      <c r="F48" s="72"/>
      <c r="G48" s="156"/>
      <c r="H48" s="202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3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2"/>
      <c r="F49" s="72"/>
      <c r="G49" s="156"/>
      <c r="H49" s="202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3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2"/>
      <c r="F50" s="72"/>
      <c r="G50" s="156"/>
      <c r="H50" s="202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3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2"/>
      <c r="F51" s="72"/>
      <c r="G51" s="156"/>
      <c r="H51" s="202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3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2"/>
      <c r="F52" s="72"/>
      <c r="G52" s="156"/>
      <c r="H52" s="202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3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2"/>
      <c r="F53" s="72"/>
      <c r="G53" s="156"/>
      <c r="H53" s="202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3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2"/>
      <c r="F54" s="72"/>
      <c r="G54" s="156"/>
      <c r="H54" s="202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3"/>
      <c r="BG54" s="75"/>
      <c r="BH54" s="76" t="s">
        <v>168</v>
      </c>
      <c r="BI54" s="13"/>
    </row>
    <row r="55" spans="2:64" ht="21.95" hidden="1" customHeight="1" x14ac:dyDescent="0.15">
      <c r="B55" s="77"/>
      <c r="C55" s="70"/>
      <c r="D55" s="72"/>
      <c r="E55" s="72"/>
      <c r="F55" s="72"/>
      <c r="G55" s="156"/>
      <c r="H55" s="202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3"/>
      <c r="BG55" s="75" t="s">
        <v>138</v>
      </c>
      <c r="BH55" s="76"/>
      <c r="BI55" s="13"/>
    </row>
    <row r="56" spans="2:64" ht="21.95" hidden="1" customHeight="1" x14ac:dyDescent="0.15">
      <c r="B56" s="77"/>
      <c r="C56" s="70"/>
      <c r="D56" s="72"/>
      <c r="E56" s="72"/>
      <c r="F56" s="72"/>
      <c r="G56" s="156"/>
      <c r="H56" s="202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3"/>
      <c r="BG56" s="75" t="s">
        <v>139</v>
      </c>
      <c r="BH56" s="76"/>
      <c r="BI56" s="13"/>
    </row>
    <row r="57" spans="2:64" ht="21.95" hidden="1" customHeight="1" x14ac:dyDescent="0.15">
      <c r="B57" s="77"/>
      <c r="C57" s="70"/>
      <c r="D57" s="72"/>
      <c r="E57" s="72"/>
      <c r="F57" s="72"/>
      <c r="G57" s="156"/>
      <c r="H57" s="202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3"/>
      <c r="BG57" s="75" t="s">
        <v>140</v>
      </c>
      <c r="BH57" s="76"/>
      <c r="BI57" s="13"/>
    </row>
    <row r="58" spans="2:64" ht="21.95" customHeight="1" thickBot="1" x14ac:dyDescent="0.2">
      <c r="B58" s="87"/>
      <c r="C58" s="88"/>
      <c r="D58" s="157"/>
      <c r="E58" s="90"/>
      <c r="F58" s="157"/>
      <c r="G58" s="156"/>
      <c r="H58" s="206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  <c r="BD58" s="207"/>
      <c r="BE58" s="207"/>
      <c r="BF58" s="208"/>
      <c r="BG58" s="75" t="s">
        <v>141</v>
      </c>
      <c r="BH58" s="76"/>
      <c r="BI58" s="13"/>
    </row>
    <row r="59" spans="2:64" ht="21.95" customHeight="1" x14ac:dyDescent="0.15">
      <c r="B59" s="91"/>
      <c r="C59" s="92"/>
      <c r="D59" s="93"/>
      <c r="E59" s="94" t="s">
        <v>169</v>
      </c>
      <c r="F59" s="94"/>
      <c r="G59" s="95">
        <f>SUM(G8:G58)</f>
        <v>0</v>
      </c>
      <c r="H59" s="96" t="str">
        <f t="shared" ref="H59:AM59" si="0">IF(H7="","",SUM(H8:H58))</f>
        <v/>
      </c>
      <c r="I59" s="97" t="str">
        <f t="shared" si="0"/>
        <v/>
      </c>
      <c r="J59" s="97" t="str">
        <f t="shared" si="0"/>
        <v/>
      </c>
      <c r="K59" s="97" t="str">
        <f t="shared" si="0"/>
        <v/>
      </c>
      <c r="L59" s="97" t="str">
        <f t="shared" si="0"/>
        <v/>
      </c>
      <c r="M59" s="97" t="str">
        <f t="shared" si="0"/>
        <v/>
      </c>
      <c r="N59" s="97" t="str">
        <f t="shared" si="0"/>
        <v/>
      </c>
      <c r="O59" s="97" t="str">
        <f t="shared" si="0"/>
        <v/>
      </c>
      <c r="P59" s="97" t="str">
        <f t="shared" si="0"/>
        <v/>
      </c>
      <c r="Q59" s="97" t="str">
        <f t="shared" si="0"/>
        <v/>
      </c>
      <c r="R59" s="97" t="str">
        <f t="shared" si="0"/>
        <v/>
      </c>
      <c r="S59" s="97" t="str">
        <f t="shared" si="0"/>
        <v/>
      </c>
      <c r="T59" s="97" t="str">
        <f t="shared" si="0"/>
        <v/>
      </c>
      <c r="U59" s="97" t="str">
        <f t="shared" si="0"/>
        <v/>
      </c>
      <c r="V59" s="97" t="str">
        <f t="shared" si="0"/>
        <v/>
      </c>
      <c r="W59" s="97" t="str">
        <f t="shared" si="0"/>
        <v/>
      </c>
      <c r="X59" s="97" t="str">
        <f t="shared" si="0"/>
        <v/>
      </c>
      <c r="Y59" s="97" t="str">
        <f t="shared" si="0"/>
        <v/>
      </c>
      <c r="Z59" s="97" t="str">
        <f t="shared" si="0"/>
        <v/>
      </c>
      <c r="AA59" s="97" t="str">
        <f t="shared" si="0"/>
        <v/>
      </c>
      <c r="AB59" s="97" t="str">
        <f t="shared" si="0"/>
        <v/>
      </c>
      <c r="AC59" s="97" t="str">
        <f t="shared" si="0"/>
        <v/>
      </c>
      <c r="AD59" s="97" t="str">
        <f t="shared" si="0"/>
        <v/>
      </c>
      <c r="AE59" s="97" t="str">
        <f t="shared" si="0"/>
        <v/>
      </c>
      <c r="AF59" s="97" t="str">
        <f t="shared" si="0"/>
        <v/>
      </c>
      <c r="AG59" s="97" t="str">
        <f t="shared" si="0"/>
        <v/>
      </c>
      <c r="AH59" s="97" t="str">
        <f t="shared" si="0"/>
        <v/>
      </c>
      <c r="AI59" s="97" t="str">
        <f t="shared" si="0"/>
        <v/>
      </c>
      <c r="AJ59" s="97" t="str">
        <f t="shared" si="0"/>
        <v/>
      </c>
      <c r="AK59" s="97" t="str">
        <f t="shared" si="0"/>
        <v/>
      </c>
      <c r="AL59" s="97" t="str">
        <f t="shared" si="0"/>
        <v/>
      </c>
      <c r="AM59" s="97" t="str">
        <f t="shared" si="0"/>
        <v/>
      </c>
      <c r="AN59" s="97" t="str">
        <f t="shared" ref="AN59:BF59" si="1">IF(AN7="","",SUM(AN8:AN58))</f>
        <v/>
      </c>
      <c r="AO59" s="97" t="str">
        <f t="shared" si="1"/>
        <v/>
      </c>
      <c r="AP59" s="97" t="str">
        <f t="shared" si="1"/>
        <v/>
      </c>
      <c r="AQ59" s="97" t="str">
        <f t="shared" si="1"/>
        <v/>
      </c>
      <c r="AR59" s="97" t="str">
        <f t="shared" si="1"/>
        <v/>
      </c>
      <c r="AS59" s="97" t="str">
        <f t="shared" si="1"/>
        <v/>
      </c>
      <c r="AT59" s="97" t="str">
        <f t="shared" si="1"/>
        <v/>
      </c>
      <c r="AU59" s="97" t="str">
        <f t="shared" si="1"/>
        <v/>
      </c>
      <c r="AV59" s="97" t="str">
        <f t="shared" si="1"/>
        <v/>
      </c>
      <c r="AW59" s="97" t="str">
        <f t="shared" si="1"/>
        <v/>
      </c>
      <c r="AX59" s="97" t="str">
        <f t="shared" si="1"/>
        <v/>
      </c>
      <c r="AY59" s="97" t="str">
        <f t="shared" si="1"/>
        <v/>
      </c>
      <c r="AZ59" s="97" t="str">
        <f t="shared" si="1"/>
        <v/>
      </c>
      <c r="BA59" s="97" t="str">
        <f t="shared" si="1"/>
        <v/>
      </c>
      <c r="BB59" s="97" t="str">
        <f t="shared" si="1"/>
        <v/>
      </c>
      <c r="BC59" s="97" t="str">
        <f t="shared" si="1"/>
        <v/>
      </c>
      <c r="BD59" s="97" t="str">
        <f t="shared" si="1"/>
        <v/>
      </c>
      <c r="BE59" s="97" t="str">
        <f t="shared" si="1"/>
        <v/>
      </c>
      <c r="BF59" s="97">
        <f t="shared" si="1"/>
        <v>0</v>
      </c>
      <c r="BG59" s="75" t="s">
        <v>142</v>
      </c>
      <c r="BH59" s="76"/>
      <c r="BI59" s="13"/>
    </row>
    <row r="60" spans="2:64" ht="21.95" customHeight="1" x14ac:dyDescent="0.15">
      <c r="B60" s="98"/>
      <c r="C60" s="29"/>
      <c r="D60" s="99"/>
      <c r="E60" s="100" t="s">
        <v>170</v>
      </c>
      <c r="F60" s="212"/>
      <c r="G60" s="101" t="e">
        <f>SUM(H60:BF60)</f>
        <v>#DIV/0!</v>
      </c>
      <c r="H60" s="102">
        <f t="shared" ref="H60:AM60" si="2">IF(H7="",0,H59/$G$59)</f>
        <v>0</v>
      </c>
      <c r="I60" s="102">
        <f t="shared" si="2"/>
        <v>0</v>
      </c>
      <c r="J60" s="102">
        <f t="shared" si="2"/>
        <v>0</v>
      </c>
      <c r="K60" s="102">
        <f t="shared" si="2"/>
        <v>0</v>
      </c>
      <c r="L60" s="102">
        <f t="shared" si="2"/>
        <v>0</v>
      </c>
      <c r="M60" s="102">
        <f t="shared" si="2"/>
        <v>0</v>
      </c>
      <c r="N60" s="102">
        <f t="shared" si="2"/>
        <v>0</v>
      </c>
      <c r="O60" s="102">
        <f t="shared" si="2"/>
        <v>0</v>
      </c>
      <c r="P60" s="102">
        <f t="shared" si="2"/>
        <v>0</v>
      </c>
      <c r="Q60" s="102">
        <f t="shared" si="2"/>
        <v>0</v>
      </c>
      <c r="R60" s="102">
        <f t="shared" si="2"/>
        <v>0</v>
      </c>
      <c r="S60" s="102">
        <f t="shared" si="2"/>
        <v>0</v>
      </c>
      <c r="T60" s="102">
        <f t="shared" si="2"/>
        <v>0</v>
      </c>
      <c r="U60" s="102">
        <f t="shared" si="2"/>
        <v>0</v>
      </c>
      <c r="V60" s="102">
        <f t="shared" si="2"/>
        <v>0</v>
      </c>
      <c r="W60" s="102">
        <f t="shared" si="2"/>
        <v>0</v>
      </c>
      <c r="X60" s="102">
        <f t="shared" si="2"/>
        <v>0</v>
      </c>
      <c r="Y60" s="102">
        <f t="shared" si="2"/>
        <v>0</v>
      </c>
      <c r="Z60" s="102">
        <f t="shared" si="2"/>
        <v>0</v>
      </c>
      <c r="AA60" s="102">
        <f t="shared" si="2"/>
        <v>0</v>
      </c>
      <c r="AB60" s="102">
        <f t="shared" si="2"/>
        <v>0</v>
      </c>
      <c r="AC60" s="102">
        <f t="shared" si="2"/>
        <v>0</v>
      </c>
      <c r="AD60" s="102">
        <f t="shared" si="2"/>
        <v>0</v>
      </c>
      <c r="AE60" s="102">
        <f t="shared" si="2"/>
        <v>0</v>
      </c>
      <c r="AF60" s="102">
        <f t="shared" si="2"/>
        <v>0</v>
      </c>
      <c r="AG60" s="102">
        <f t="shared" si="2"/>
        <v>0</v>
      </c>
      <c r="AH60" s="102">
        <f t="shared" si="2"/>
        <v>0</v>
      </c>
      <c r="AI60" s="102">
        <f t="shared" si="2"/>
        <v>0</v>
      </c>
      <c r="AJ60" s="102">
        <f t="shared" si="2"/>
        <v>0</v>
      </c>
      <c r="AK60" s="102">
        <f t="shared" si="2"/>
        <v>0</v>
      </c>
      <c r="AL60" s="102">
        <f t="shared" si="2"/>
        <v>0</v>
      </c>
      <c r="AM60" s="102">
        <f t="shared" si="2"/>
        <v>0</v>
      </c>
      <c r="AN60" s="102">
        <f t="shared" ref="AN60:BF60" si="3">IF(AN7="",0,AN59/$G$59)</f>
        <v>0</v>
      </c>
      <c r="AO60" s="102">
        <f t="shared" si="3"/>
        <v>0</v>
      </c>
      <c r="AP60" s="102">
        <f t="shared" si="3"/>
        <v>0</v>
      </c>
      <c r="AQ60" s="102">
        <f t="shared" si="3"/>
        <v>0</v>
      </c>
      <c r="AR60" s="102">
        <f t="shared" si="3"/>
        <v>0</v>
      </c>
      <c r="AS60" s="102">
        <f t="shared" si="3"/>
        <v>0</v>
      </c>
      <c r="AT60" s="102">
        <f t="shared" si="3"/>
        <v>0</v>
      </c>
      <c r="AU60" s="102">
        <f t="shared" si="3"/>
        <v>0</v>
      </c>
      <c r="AV60" s="102">
        <f t="shared" si="3"/>
        <v>0</v>
      </c>
      <c r="AW60" s="102">
        <f t="shared" si="3"/>
        <v>0</v>
      </c>
      <c r="AX60" s="102">
        <f t="shared" si="3"/>
        <v>0</v>
      </c>
      <c r="AY60" s="102">
        <f t="shared" si="3"/>
        <v>0</v>
      </c>
      <c r="AZ60" s="102">
        <f t="shared" si="3"/>
        <v>0</v>
      </c>
      <c r="BA60" s="102">
        <f t="shared" si="3"/>
        <v>0</v>
      </c>
      <c r="BB60" s="102">
        <f t="shared" si="3"/>
        <v>0</v>
      </c>
      <c r="BC60" s="102">
        <f t="shared" si="3"/>
        <v>0</v>
      </c>
      <c r="BD60" s="102">
        <f t="shared" si="3"/>
        <v>0</v>
      </c>
      <c r="BE60" s="102">
        <f t="shared" si="3"/>
        <v>0</v>
      </c>
      <c r="BF60" s="102" t="e">
        <f t="shared" si="3"/>
        <v>#DIV/0!</v>
      </c>
      <c r="BG60" s="75" t="s">
        <v>143</v>
      </c>
      <c r="BH60" s="76"/>
      <c r="BI60" s="13"/>
    </row>
    <row r="61" spans="2:64" ht="21.95" customHeight="1" thickBot="1" x14ac:dyDescent="0.2">
      <c r="B61" s="103"/>
      <c r="C61" s="35"/>
      <c r="D61" s="104"/>
      <c r="E61" s="35" t="s">
        <v>171</v>
      </c>
      <c r="F61" s="35"/>
      <c r="G61" s="105"/>
      <c r="H61" s="106">
        <v>1</v>
      </c>
      <c r="I61" s="107">
        <v>2</v>
      </c>
      <c r="J61" s="107">
        <v>3</v>
      </c>
      <c r="K61" s="107">
        <v>4</v>
      </c>
      <c r="L61" s="108">
        <v>5</v>
      </c>
      <c r="M61" s="108">
        <v>6</v>
      </c>
      <c r="N61" s="108">
        <v>7</v>
      </c>
      <c r="O61" s="108">
        <v>8</v>
      </c>
      <c r="P61" s="108">
        <v>9</v>
      </c>
      <c r="Q61" s="108">
        <v>10</v>
      </c>
      <c r="R61" s="108">
        <v>11</v>
      </c>
      <c r="S61" s="108">
        <v>12</v>
      </c>
      <c r="T61" s="108">
        <v>13</v>
      </c>
      <c r="U61" s="108">
        <v>14</v>
      </c>
      <c r="V61" s="108">
        <v>15</v>
      </c>
      <c r="W61" s="108">
        <v>16</v>
      </c>
      <c r="X61" s="108">
        <v>17</v>
      </c>
      <c r="Y61" s="108">
        <v>18</v>
      </c>
      <c r="Z61" s="108">
        <v>19</v>
      </c>
      <c r="AA61" s="108">
        <v>20</v>
      </c>
      <c r="AB61" s="108">
        <v>21</v>
      </c>
      <c r="AC61" s="108">
        <v>22</v>
      </c>
      <c r="AD61" s="108">
        <v>23</v>
      </c>
      <c r="AE61" s="108">
        <v>24</v>
      </c>
      <c r="AF61" s="108">
        <v>25</v>
      </c>
      <c r="AG61" s="108">
        <v>26</v>
      </c>
      <c r="AH61" s="108">
        <v>27</v>
      </c>
      <c r="AI61" s="108">
        <v>28</v>
      </c>
      <c r="AJ61" s="108">
        <v>29</v>
      </c>
      <c r="AK61" s="108">
        <v>30</v>
      </c>
      <c r="AL61" s="108">
        <v>31</v>
      </c>
      <c r="AM61" s="108">
        <v>32</v>
      </c>
      <c r="AN61" s="108">
        <v>33</v>
      </c>
      <c r="AO61" s="108">
        <v>34</v>
      </c>
      <c r="AP61" s="108">
        <v>35</v>
      </c>
      <c r="AQ61" s="108">
        <v>36</v>
      </c>
      <c r="AR61" s="108">
        <v>37</v>
      </c>
      <c r="AS61" s="108">
        <v>38</v>
      </c>
      <c r="AT61" s="108">
        <v>39</v>
      </c>
      <c r="AU61" s="108">
        <v>40</v>
      </c>
      <c r="AV61" s="108">
        <v>41</v>
      </c>
      <c r="AW61" s="108">
        <v>42</v>
      </c>
      <c r="AX61" s="108">
        <v>43</v>
      </c>
      <c r="AY61" s="108">
        <v>44</v>
      </c>
      <c r="AZ61" s="108">
        <v>45</v>
      </c>
      <c r="BA61" s="108">
        <v>46</v>
      </c>
      <c r="BB61" s="108">
        <v>47</v>
      </c>
      <c r="BC61" s="108">
        <v>48</v>
      </c>
      <c r="BD61" s="108">
        <v>49</v>
      </c>
      <c r="BE61" s="108">
        <v>50</v>
      </c>
      <c r="BF61" s="108">
        <v>31</v>
      </c>
      <c r="BG61" s="109"/>
      <c r="BH61" s="110"/>
      <c r="BI61" s="13"/>
      <c r="BJ61" s="13"/>
      <c r="BK61" s="13"/>
      <c r="BL61" s="13"/>
    </row>
    <row r="62" spans="2:64" ht="14.25" thickBot="1" x14ac:dyDescent="0.2">
      <c r="D62" s="111"/>
      <c r="E62" s="112"/>
      <c r="F62" s="111"/>
      <c r="BH62" s="13"/>
      <c r="BI62" s="13"/>
    </row>
    <row r="63" spans="2:64" ht="20.100000000000001" customHeight="1" x14ac:dyDescent="0.15">
      <c r="D63" s="20"/>
      <c r="E63" s="91" t="s">
        <v>172</v>
      </c>
      <c r="F63" s="113"/>
      <c r="G63" s="113"/>
      <c r="H63" s="91" t="s">
        <v>173</v>
      </c>
      <c r="I63" s="113"/>
      <c r="J63" s="113"/>
      <c r="K63" s="113"/>
      <c r="L63" s="113"/>
      <c r="M63" s="114"/>
      <c r="N63" s="115"/>
      <c r="O63" s="29"/>
      <c r="R63" s="116" t="s">
        <v>183</v>
      </c>
      <c r="S63" s="226">
        <f ca="1">TODAY()</f>
        <v>45106</v>
      </c>
      <c r="T63" s="226"/>
      <c r="U63" s="117"/>
      <c r="V63" s="117"/>
      <c r="W63" s="117"/>
      <c r="X63" s="117"/>
      <c r="Y63" s="117"/>
      <c r="Z63" s="117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H63" s="13"/>
      <c r="BI63" s="13"/>
    </row>
    <row r="64" spans="2:64" ht="20.100000000000001" customHeight="1" thickBot="1" x14ac:dyDescent="0.25">
      <c r="C64" s="119"/>
      <c r="E64" s="120"/>
      <c r="F64" s="127"/>
      <c r="G64" s="121"/>
      <c r="H64" s="122"/>
      <c r="I64" s="121"/>
      <c r="J64" s="35"/>
      <c r="K64" s="123"/>
      <c r="L64" s="123"/>
      <c r="M64" s="124"/>
      <c r="N64" s="115"/>
      <c r="O64" s="29"/>
      <c r="R64" s="29" t="s">
        <v>184</v>
      </c>
      <c r="S64" s="29"/>
      <c r="T64" s="125"/>
      <c r="U64" s="126"/>
      <c r="V64" s="127"/>
      <c r="W64" s="127" t="s">
        <v>174</v>
      </c>
      <c r="X64" s="128"/>
      <c r="Y64" s="128"/>
      <c r="Z64" s="128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I64" s="13"/>
    </row>
    <row r="65" spans="3:61" ht="20.100000000000001" customHeight="1" thickBot="1" x14ac:dyDescent="0.2">
      <c r="C65" s="130"/>
      <c r="E65" s="122" t="s">
        <v>175</v>
      </c>
      <c r="F65" s="35"/>
      <c r="G65" s="121"/>
      <c r="H65" s="122" t="s">
        <v>176</v>
      </c>
      <c r="I65" s="121"/>
      <c r="J65" s="35"/>
      <c r="K65" s="131" t="s">
        <v>177</v>
      </c>
      <c r="L65" s="121"/>
      <c r="M65" s="132"/>
      <c r="N65" s="98"/>
      <c r="O65" s="19"/>
      <c r="R65" s="117"/>
      <c r="S65" s="117"/>
      <c r="T65" s="117"/>
      <c r="U65" s="117"/>
      <c r="V65" s="117"/>
      <c r="W65" s="117"/>
      <c r="X65" s="117"/>
      <c r="Y65" s="117"/>
      <c r="Z65" s="117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I65" s="13"/>
    </row>
    <row r="66" spans="3:61" ht="15" thickBot="1" x14ac:dyDescent="0.2">
      <c r="E66" s="133" t="s">
        <v>185</v>
      </c>
      <c r="F66" s="213"/>
      <c r="G66" s="134"/>
      <c r="H66" s="135"/>
      <c r="I66" s="136"/>
      <c r="J66" s="136"/>
      <c r="K66" s="136"/>
      <c r="L66" s="136"/>
      <c r="M66" s="134"/>
      <c r="BI66" s="13"/>
    </row>
    <row r="67" spans="3:61" ht="15" thickBot="1" x14ac:dyDescent="0.2">
      <c r="E67" s="137" t="s">
        <v>178</v>
      </c>
      <c r="F67" s="214"/>
      <c r="G67" s="134"/>
      <c r="H67" s="135"/>
      <c r="I67" s="136"/>
      <c r="J67" s="136"/>
      <c r="K67" s="136"/>
      <c r="L67" s="136"/>
      <c r="M67" s="134"/>
      <c r="BI67" s="13"/>
    </row>
    <row r="68" spans="3:61" ht="15" thickBot="1" x14ac:dyDescent="0.2">
      <c r="E68" s="138" t="s">
        <v>2</v>
      </c>
      <c r="F68" s="215"/>
      <c r="G68" s="134"/>
      <c r="H68" s="135"/>
      <c r="I68" s="136"/>
      <c r="J68" s="136"/>
      <c r="K68" s="136"/>
      <c r="L68" s="136"/>
      <c r="M68" s="134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39">
        <v>97</v>
      </c>
    </row>
    <row r="121" spans="66:66" x14ac:dyDescent="0.15">
      <c r="BN121" s="139">
        <v>45</v>
      </c>
    </row>
    <row r="122" spans="66:66" x14ac:dyDescent="0.15">
      <c r="BN122" s="139">
        <v>34</v>
      </c>
    </row>
    <row r="123" spans="66:66" x14ac:dyDescent="0.15">
      <c r="BN123" s="139">
        <v>0</v>
      </c>
    </row>
    <row r="124" spans="66:66" x14ac:dyDescent="0.15">
      <c r="BN124" s="139">
        <v>0</v>
      </c>
    </row>
    <row r="125" spans="66:66" x14ac:dyDescent="0.15">
      <c r="BN125" s="139">
        <v>0</v>
      </c>
    </row>
    <row r="126" spans="66:66" x14ac:dyDescent="0.15">
      <c r="BN126" s="139">
        <v>0</v>
      </c>
    </row>
    <row r="127" spans="66:66" x14ac:dyDescent="0.15">
      <c r="BN127" s="139">
        <v>0</v>
      </c>
    </row>
    <row r="128" spans="66:66" x14ac:dyDescent="0.15">
      <c r="BN128" s="139">
        <v>0</v>
      </c>
    </row>
    <row r="129" spans="66:66" x14ac:dyDescent="0.15">
      <c r="BN129" s="139">
        <v>0</v>
      </c>
    </row>
    <row r="130" spans="66:66" x14ac:dyDescent="0.15">
      <c r="BN130" s="139">
        <v>0</v>
      </c>
    </row>
    <row r="131" spans="66:66" x14ac:dyDescent="0.15">
      <c r="BN131" s="139">
        <v>0</v>
      </c>
    </row>
    <row r="132" spans="66:66" x14ac:dyDescent="0.15">
      <c r="BN132" s="139">
        <v>0</v>
      </c>
    </row>
    <row r="133" spans="66:66" x14ac:dyDescent="0.15">
      <c r="BN133" s="139">
        <v>0</v>
      </c>
    </row>
    <row r="134" spans="66:66" x14ac:dyDescent="0.15">
      <c r="BN134" s="139">
        <v>0</v>
      </c>
    </row>
    <row r="135" spans="66:66" x14ac:dyDescent="0.15">
      <c r="BN135" s="139">
        <v>0</v>
      </c>
    </row>
    <row r="136" spans="66:66" x14ac:dyDescent="0.15">
      <c r="BN136" s="139">
        <v>0</v>
      </c>
    </row>
    <row r="137" spans="66:66" x14ac:dyDescent="0.15">
      <c r="BN137" s="139">
        <v>0</v>
      </c>
    </row>
    <row r="138" spans="66:66" x14ac:dyDescent="0.15">
      <c r="BN138" s="139">
        <v>0</v>
      </c>
    </row>
    <row r="139" spans="66:66" x14ac:dyDescent="0.15">
      <c r="BN139" s="139">
        <v>0</v>
      </c>
    </row>
    <row r="140" spans="66:66" x14ac:dyDescent="0.15">
      <c r="BN140" s="139">
        <v>0</v>
      </c>
    </row>
    <row r="141" spans="66:66" x14ac:dyDescent="0.15">
      <c r="BN141" s="139">
        <v>0</v>
      </c>
    </row>
    <row r="142" spans="66:66" x14ac:dyDescent="0.15">
      <c r="BN142" s="139">
        <v>0</v>
      </c>
    </row>
    <row r="143" spans="66:66" x14ac:dyDescent="0.15">
      <c r="BN143" s="139">
        <v>0</v>
      </c>
    </row>
    <row r="144" spans="66:66" x14ac:dyDescent="0.15">
      <c r="BN144" s="139">
        <v>0</v>
      </c>
    </row>
    <row r="145" spans="66:66" x14ac:dyDescent="0.15">
      <c r="BN145" s="139">
        <v>0</v>
      </c>
    </row>
    <row r="146" spans="66:66" x14ac:dyDescent="0.15">
      <c r="BN146" s="139">
        <v>0</v>
      </c>
    </row>
    <row r="147" spans="66:66" x14ac:dyDescent="0.15">
      <c r="BN147" s="139">
        <v>0</v>
      </c>
    </row>
    <row r="148" spans="66:66" x14ac:dyDescent="0.15">
      <c r="BN148" s="139">
        <v>0</v>
      </c>
    </row>
    <row r="149" spans="66:66" x14ac:dyDescent="0.15">
      <c r="BN149" s="139">
        <v>0</v>
      </c>
    </row>
    <row r="150" spans="66:66" x14ac:dyDescent="0.15">
      <c r="BN150" s="139">
        <v>0</v>
      </c>
    </row>
    <row r="151" spans="66:66" x14ac:dyDescent="0.15">
      <c r="BN151" s="139">
        <v>0</v>
      </c>
    </row>
    <row r="152" spans="66:66" x14ac:dyDescent="0.15">
      <c r="BN152" s="139">
        <v>0</v>
      </c>
    </row>
    <row r="153" spans="66:66" x14ac:dyDescent="0.15">
      <c r="BN153" s="139">
        <v>0</v>
      </c>
    </row>
    <row r="154" spans="66:66" x14ac:dyDescent="0.15">
      <c r="BN154" s="139">
        <v>0</v>
      </c>
    </row>
    <row r="155" spans="66:66" x14ac:dyDescent="0.15">
      <c r="BN155" s="139">
        <v>0</v>
      </c>
    </row>
    <row r="156" spans="66:66" x14ac:dyDescent="0.15">
      <c r="BN156" s="139">
        <v>0</v>
      </c>
    </row>
    <row r="157" spans="66:66" x14ac:dyDescent="0.15">
      <c r="BN157" s="139">
        <v>0</v>
      </c>
    </row>
    <row r="158" spans="66:66" x14ac:dyDescent="0.15">
      <c r="BN158" s="139">
        <v>0</v>
      </c>
    </row>
    <row r="159" spans="66:66" x14ac:dyDescent="0.15">
      <c r="BN159" s="139">
        <v>0</v>
      </c>
    </row>
    <row r="160" spans="66:66" x14ac:dyDescent="0.15">
      <c r="BN160" s="139">
        <v>0</v>
      </c>
    </row>
    <row r="161" spans="66:66" x14ac:dyDescent="0.15">
      <c r="BN161" s="139">
        <v>0</v>
      </c>
    </row>
    <row r="266" spans="8:15" x14ac:dyDescent="0.15">
      <c r="H266" t="s">
        <v>179</v>
      </c>
      <c r="I266" t="s">
        <v>179</v>
      </c>
      <c r="J266" t="s">
        <v>179</v>
      </c>
      <c r="K266" t="s">
        <v>179</v>
      </c>
      <c r="L266" t="s">
        <v>179</v>
      </c>
      <c r="M266" t="s">
        <v>179</v>
      </c>
      <c r="N266" t="s">
        <v>179</v>
      </c>
      <c r="O266" t="s">
        <v>179</v>
      </c>
    </row>
    <row r="1000" spans="8:80" x14ac:dyDescent="0.15"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1"/>
      <c r="AB1000" s="141"/>
      <c r="AC1000" s="141"/>
      <c r="AD1000" s="141"/>
      <c r="AE1000" s="141"/>
      <c r="AF1000" s="141"/>
      <c r="AG1000" s="141"/>
      <c r="AH1000" s="141"/>
      <c r="AI1000" s="141"/>
      <c r="AJ1000" s="141"/>
      <c r="AK1000" s="141"/>
      <c r="AL1000" s="141"/>
      <c r="AM1000" s="141"/>
      <c r="AN1000" s="141"/>
      <c r="AO1000" s="141"/>
      <c r="AP1000" s="141"/>
      <c r="AQ1000" s="141"/>
      <c r="AR1000" s="141"/>
      <c r="AS1000" s="141"/>
      <c r="AT1000" s="141"/>
      <c r="AU1000" s="141"/>
      <c r="AV1000" s="141"/>
      <c r="AW1000" s="141"/>
      <c r="AX1000" s="141"/>
      <c r="AY1000" s="141"/>
      <c r="AZ1000" s="141"/>
      <c r="BA1000" s="141"/>
      <c r="BB1000" s="141"/>
      <c r="BC1000" s="141"/>
      <c r="BD1000" s="141"/>
      <c r="BE1000" s="141"/>
      <c r="BF1000" s="140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42">
        <f t="shared" ref="CB1000:CB1029" si="4">SUM(I1000:CA1000)</f>
        <v>0</v>
      </c>
    </row>
    <row r="1001" spans="8:80" x14ac:dyDescent="0.15">
      <c r="H1001" s="140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1"/>
      <c r="AB1001" s="141"/>
      <c r="AC1001" s="141"/>
      <c r="AD1001" s="141"/>
      <c r="AE1001" s="141"/>
      <c r="AF1001" s="141"/>
      <c r="AG1001" s="141"/>
      <c r="AH1001" s="141"/>
      <c r="AI1001" s="141"/>
      <c r="AJ1001" s="141"/>
      <c r="AK1001" s="141"/>
      <c r="AL1001" s="141"/>
      <c r="AM1001" s="141"/>
      <c r="AN1001" s="141"/>
      <c r="AO1001" s="141"/>
      <c r="AP1001" s="141"/>
      <c r="AQ1001" s="141"/>
      <c r="AR1001" s="141"/>
      <c r="AS1001" s="141"/>
      <c r="AT1001" s="141"/>
      <c r="AU1001" s="141"/>
      <c r="AV1001" s="141"/>
      <c r="AW1001" s="141"/>
      <c r="AX1001" s="141"/>
      <c r="AY1001" s="141"/>
      <c r="AZ1001" s="141"/>
      <c r="BA1001" s="141"/>
      <c r="BB1001" s="141"/>
      <c r="BC1001" s="141"/>
      <c r="BD1001" s="141"/>
      <c r="BE1001" s="141"/>
      <c r="BF1001" s="140"/>
      <c r="BG1001" s="139"/>
      <c r="BH1001" s="139"/>
      <c r="BI1001" s="139"/>
      <c r="BJ1001" s="139"/>
      <c r="BK1001" s="139"/>
      <c r="BL1001" s="139"/>
      <c r="BM1001" s="139"/>
      <c r="BN1001" s="139"/>
      <c r="BO1001" s="139"/>
      <c r="BP1001" s="139"/>
      <c r="BQ1001" s="139"/>
      <c r="BR1001" s="139"/>
      <c r="BS1001" s="139"/>
      <c r="BT1001" s="139"/>
      <c r="BU1001" s="139"/>
      <c r="BV1001" s="139"/>
      <c r="BW1001" s="139"/>
      <c r="BX1001" s="139"/>
      <c r="BY1001" s="139"/>
      <c r="BZ1001" s="139"/>
      <c r="CA1001" s="139"/>
      <c r="CB1001" s="142">
        <f t="shared" si="4"/>
        <v>0</v>
      </c>
    </row>
    <row r="1002" spans="8:80" x14ac:dyDescent="0.15">
      <c r="H1002" s="140"/>
      <c r="I1002" s="140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1"/>
      <c r="AB1002" s="141"/>
      <c r="AC1002" s="141"/>
      <c r="AD1002" s="141"/>
      <c r="AE1002" s="141"/>
      <c r="AF1002" s="141"/>
      <c r="AG1002" s="141"/>
      <c r="AH1002" s="141"/>
      <c r="AI1002" s="141"/>
      <c r="AJ1002" s="141"/>
      <c r="AK1002" s="141"/>
      <c r="AL1002" s="141"/>
      <c r="AM1002" s="141"/>
      <c r="AN1002" s="141"/>
      <c r="AO1002" s="141"/>
      <c r="AP1002" s="141"/>
      <c r="AQ1002" s="141"/>
      <c r="AR1002" s="141"/>
      <c r="AS1002" s="141"/>
      <c r="AT1002" s="141"/>
      <c r="AU1002" s="141"/>
      <c r="AV1002" s="141"/>
      <c r="AW1002" s="141"/>
      <c r="AX1002" s="141"/>
      <c r="AY1002" s="141"/>
      <c r="AZ1002" s="141"/>
      <c r="BA1002" s="141"/>
      <c r="BB1002" s="141"/>
      <c r="BC1002" s="141"/>
      <c r="BD1002" s="141"/>
      <c r="BE1002" s="141"/>
      <c r="BF1002" s="140"/>
      <c r="BG1002" s="139"/>
      <c r="BH1002" s="139"/>
      <c r="BI1002" s="139"/>
      <c r="BJ1002" s="139"/>
      <c r="BK1002" s="139"/>
      <c r="BL1002" s="139"/>
      <c r="BM1002" s="139"/>
      <c r="BN1002" s="139"/>
      <c r="BO1002" s="139"/>
      <c r="BP1002" s="139"/>
      <c r="BQ1002" s="139"/>
      <c r="BR1002" s="139"/>
      <c r="BS1002" s="139"/>
      <c r="BT1002" s="139"/>
      <c r="BU1002" s="139"/>
      <c r="BV1002" s="139"/>
      <c r="BW1002" s="139"/>
      <c r="BX1002" s="139"/>
      <c r="BY1002" s="139"/>
      <c r="BZ1002" s="139"/>
      <c r="CA1002" s="139"/>
      <c r="CB1002" s="142">
        <f t="shared" si="4"/>
        <v>0</v>
      </c>
    </row>
    <row r="1003" spans="8:80" x14ac:dyDescent="0.15">
      <c r="H1003" s="140"/>
      <c r="I1003" s="140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1"/>
      <c r="AB1003" s="141"/>
      <c r="AC1003" s="141"/>
      <c r="AD1003" s="141"/>
      <c r="AE1003" s="141"/>
      <c r="AF1003" s="141"/>
      <c r="AG1003" s="141"/>
      <c r="AH1003" s="141"/>
      <c r="AI1003" s="141"/>
      <c r="AJ1003" s="141"/>
      <c r="AK1003" s="141"/>
      <c r="AL1003" s="141"/>
      <c r="AM1003" s="141"/>
      <c r="AN1003" s="141"/>
      <c r="AO1003" s="141"/>
      <c r="AP1003" s="141"/>
      <c r="AQ1003" s="141"/>
      <c r="AR1003" s="141"/>
      <c r="AS1003" s="141"/>
      <c r="AT1003" s="141"/>
      <c r="AU1003" s="141"/>
      <c r="AV1003" s="141"/>
      <c r="AW1003" s="141"/>
      <c r="AX1003" s="141"/>
      <c r="AY1003" s="141"/>
      <c r="AZ1003" s="141"/>
      <c r="BA1003" s="141"/>
      <c r="BB1003" s="141"/>
      <c r="BC1003" s="141"/>
      <c r="BD1003" s="141"/>
      <c r="BE1003" s="141"/>
      <c r="BF1003" s="140"/>
      <c r="BG1003" s="139"/>
      <c r="BH1003" s="139"/>
      <c r="BI1003" s="139"/>
      <c r="BJ1003" s="139"/>
      <c r="BK1003" s="139"/>
      <c r="BL1003" s="139"/>
      <c r="BM1003" s="139"/>
      <c r="BN1003" s="139"/>
      <c r="BO1003" s="139"/>
      <c r="BP1003" s="139"/>
      <c r="BQ1003" s="139"/>
      <c r="BR1003" s="139"/>
      <c r="BS1003" s="139"/>
      <c r="BT1003" s="139"/>
      <c r="BU1003" s="139"/>
      <c r="BV1003" s="139"/>
      <c r="BW1003" s="139"/>
      <c r="BX1003" s="139"/>
      <c r="BY1003" s="139"/>
      <c r="BZ1003" s="139"/>
      <c r="CA1003" s="139"/>
      <c r="CB1003" s="142">
        <f t="shared" si="4"/>
        <v>0</v>
      </c>
    </row>
    <row r="1004" spans="8:80" x14ac:dyDescent="0.15">
      <c r="H1004" s="140"/>
      <c r="I1004" s="140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1"/>
      <c r="AB1004" s="141"/>
      <c r="AC1004" s="141"/>
      <c r="AD1004" s="141"/>
      <c r="AE1004" s="141"/>
      <c r="AF1004" s="141"/>
      <c r="AG1004" s="141"/>
      <c r="AH1004" s="141"/>
      <c r="AI1004" s="141"/>
      <c r="AJ1004" s="141"/>
      <c r="AK1004" s="141"/>
      <c r="AL1004" s="141"/>
      <c r="AM1004" s="141"/>
      <c r="AN1004" s="141"/>
      <c r="AO1004" s="141"/>
      <c r="AP1004" s="141"/>
      <c r="AQ1004" s="141"/>
      <c r="AR1004" s="141"/>
      <c r="AS1004" s="141"/>
      <c r="AT1004" s="141"/>
      <c r="AU1004" s="141"/>
      <c r="AV1004" s="141"/>
      <c r="AW1004" s="141"/>
      <c r="AX1004" s="141"/>
      <c r="AY1004" s="141"/>
      <c r="AZ1004" s="141"/>
      <c r="BA1004" s="141"/>
      <c r="BB1004" s="141"/>
      <c r="BC1004" s="141"/>
      <c r="BD1004" s="141"/>
      <c r="BE1004" s="141"/>
      <c r="BF1004" s="140"/>
      <c r="BG1004" s="139"/>
      <c r="BH1004" s="139"/>
      <c r="BI1004" s="139"/>
      <c r="BJ1004" s="139"/>
      <c r="BK1004" s="139"/>
      <c r="BL1004" s="139"/>
      <c r="BM1004" s="139"/>
      <c r="BN1004" s="139"/>
      <c r="BO1004" s="139"/>
      <c r="BP1004" s="139"/>
      <c r="BQ1004" s="139"/>
      <c r="BR1004" s="139"/>
      <c r="BS1004" s="139"/>
      <c r="BT1004" s="139"/>
      <c r="BU1004" s="139"/>
      <c r="BV1004" s="139"/>
      <c r="BW1004" s="139"/>
      <c r="BX1004" s="139"/>
      <c r="BY1004" s="139"/>
      <c r="BZ1004" s="139"/>
      <c r="CA1004" s="139"/>
      <c r="CB1004" s="142">
        <f t="shared" si="4"/>
        <v>0</v>
      </c>
    </row>
    <row r="1005" spans="8:80" x14ac:dyDescent="0.15"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0"/>
      <c r="AA1005" s="141"/>
      <c r="AB1005" s="141"/>
      <c r="AC1005" s="141"/>
      <c r="AD1005" s="141"/>
      <c r="AE1005" s="141"/>
      <c r="AF1005" s="141"/>
      <c r="AG1005" s="141"/>
      <c r="AH1005" s="141"/>
      <c r="AI1005" s="141"/>
      <c r="AJ1005" s="141"/>
      <c r="AK1005" s="141"/>
      <c r="AL1005" s="141"/>
      <c r="AM1005" s="141"/>
      <c r="AN1005" s="141"/>
      <c r="AO1005" s="141"/>
      <c r="AP1005" s="141"/>
      <c r="AQ1005" s="141"/>
      <c r="AR1005" s="141"/>
      <c r="AS1005" s="141"/>
      <c r="AT1005" s="141"/>
      <c r="AU1005" s="141"/>
      <c r="AV1005" s="141"/>
      <c r="AW1005" s="141"/>
      <c r="AX1005" s="141"/>
      <c r="AY1005" s="141"/>
      <c r="AZ1005" s="141"/>
      <c r="BA1005" s="141"/>
      <c r="BB1005" s="141"/>
      <c r="BC1005" s="141"/>
      <c r="BD1005" s="141"/>
      <c r="BE1005" s="141"/>
      <c r="BF1005" s="140"/>
      <c r="BG1005" s="139"/>
      <c r="BH1005" s="139"/>
      <c r="BI1005" s="139"/>
      <c r="BJ1005" s="139"/>
      <c r="BK1005" s="139"/>
      <c r="BL1005" s="139"/>
      <c r="BM1005" s="139"/>
      <c r="BN1005" s="139"/>
      <c r="BO1005" s="139"/>
      <c r="BP1005" s="139"/>
      <c r="BQ1005" s="139"/>
      <c r="BR1005" s="139"/>
      <c r="BS1005" s="139"/>
      <c r="BT1005" s="139"/>
      <c r="BU1005" s="139"/>
      <c r="BV1005" s="139"/>
      <c r="BW1005" s="139"/>
      <c r="BX1005" s="139"/>
      <c r="BY1005" s="139"/>
      <c r="BZ1005" s="139"/>
      <c r="CA1005" s="139"/>
      <c r="CB1005" s="142">
        <f t="shared" si="4"/>
        <v>0</v>
      </c>
    </row>
    <row r="1006" spans="8:80" x14ac:dyDescent="0.15"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  <c r="R1006" s="140"/>
      <c r="S1006" s="140"/>
      <c r="T1006" s="140"/>
      <c r="U1006" s="140"/>
      <c r="V1006" s="140"/>
      <c r="W1006" s="140"/>
      <c r="X1006" s="140"/>
      <c r="Y1006" s="140"/>
      <c r="Z1006" s="140"/>
      <c r="AA1006" s="141"/>
      <c r="AB1006" s="141"/>
      <c r="AC1006" s="141"/>
      <c r="AD1006" s="141"/>
      <c r="AE1006" s="141"/>
      <c r="AF1006" s="141"/>
      <c r="AG1006" s="141"/>
      <c r="AH1006" s="141"/>
      <c r="AI1006" s="141"/>
      <c r="AJ1006" s="141"/>
      <c r="AK1006" s="141"/>
      <c r="AL1006" s="141"/>
      <c r="AM1006" s="141"/>
      <c r="AN1006" s="141"/>
      <c r="AO1006" s="141"/>
      <c r="AP1006" s="141"/>
      <c r="AQ1006" s="141"/>
      <c r="AR1006" s="141"/>
      <c r="AS1006" s="141"/>
      <c r="AT1006" s="141"/>
      <c r="AU1006" s="141"/>
      <c r="AV1006" s="141"/>
      <c r="AW1006" s="141"/>
      <c r="AX1006" s="141"/>
      <c r="AY1006" s="141"/>
      <c r="AZ1006" s="141"/>
      <c r="BA1006" s="141"/>
      <c r="BB1006" s="141"/>
      <c r="BC1006" s="141"/>
      <c r="BD1006" s="141"/>
      <c r="BE1006" s="141"/>
      <c r="BF1006" s="140"/>
      <c r="BG1006" s="139"/>
      <c r="BH1006" s="139"/>
      <c r="BI1006" s="139"/>
      <c r="BJ1006" s="139"/>
      <c r="BK1006" s="139"/>
      <c r="BL1006" s="139"/>
      <c r="BM1006" s="139"/>
      <c r="BN1006" s="139"/>
      <c r="BO1006" s="139"/>
      <c r="BP1006" s="139"/>
      <c r="BQ1006" s="139"/>
      <c r="BR1006" s="139"/>
      <c r="BS1006" s="139"/>
      <c r="BT1006" s="139"/>
      <c r="BU1006" s="139"/>
      <c r="BV1006" s="139"/>
      <c r="BW1006" s="139"/>
      <c r="BX1006" s="139"/>
      <c r="BY1006" s="139"/>
      <c r="BZ1006" s="139"/>
      <c r="CA1006" s="139"/>
      <c r="CB1006" s="142">
        <f t="shared" si="4"/>
        <v>0</v>
      </c>
    </row>
    <row r="1007" spans="8:80" x14ac:dyDescent="0.15"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  <c r="R1007" s="140"/>
      <c r="S1007" s="140"/>
      <c r="T1007" s="140"/>
      <c r="U1007" s="140"/>
      <c r="V1007" s="140"/>
      <c r="W1007" s="140"/>
      <c r="X1007" s="140"/>
      <c r="Y1007" s="140"/>
      <c r="Z1007" s="140"/>
      <c r="AA1007" s="141"/>
      <c r="AB1007" s="141"/>
      <c r="AC1007" s="141"/>
      <c r="AD1007" s="141"/>
      <c r="AE1007" s="141"/>
      <c r="AF1007" s="141"/>
      <c r="AG1007" s="141"/>
      <c r="AH1007" s="141"/>
      <c r="AI1007" s="141"/>
      <c r="AJ1007" s="141"/>
      <c r="AK1007" s="141"/>
      <c r="AL1007" s="141"/>
      <c r="AM1007" s="141"/>
      <c r="AN1007" s="141"/>
      <c r="AO1007" s="141"/>
      <c r="AP1007" s="141"/>
      <c r="AQ1007" s="141"/>
      <c r="AR1007" s="141"/>
      <c r="AS1007" s="141"/>
      <c r="AT1007" s="141"/>
      <c r="AU1007" s="141"/>
      <c r="AV1007" s="141"/>
      <c r="AW1007" s="141"/>
      <c r="AX1007" s="141"/>
      <c r="AY1007" s="141"/>
      <c r="AZ1007" s="141"/>
      <c r="BA1007" s="141"/>
      <c r="BB1007" s="141"/>
      <c r="BC1007" s="141"/>
      <c r="BD1007" s="141"/>
      <c r="BE1007" s="141"/>
      <c r="BF1007" s="140"/>
      <c r="BG1007" s="139"/>
      <c r="BH1007" s="139"/>
      <c r="BI1007" s="139"/>
      <c r="BJ1007" s="139"/>
      <c r="BK1007" s="139"/>
      <c r="BL1007" s="139"/>
      <c r="BM1007" s="139"/>
      <c r="BN1007" s="139"/>
      <c r="BO1007" s="139"/>
      <c r="BP1007" s="139"/>
      <c r="BQ1007" s="139"/>
      <c r="BR1007" s="139"/>
      <c r="BS1007" s="139"/>
      <c r="BT1007" s="139"/>
      <c r="BU1007" s="139"/>
      <c r="BV1007" s="139"/>
      <c r="BW1007" s="139"/>
      <c r="BX1007" s="139"/>
      <c r="BY1007" s="139"/>
      <c r="BZ1007" s="139"/>
      <c r="CA1007" s="139"/>
      <c r="CB1007" s="142">
        <f t="shared" si="4"/>
        <v>0</v>
      </c>
    </row>
    <row r="1008" spans="8:80" x14ac:dyDescent="0.15">
      <c r="H1008" s="140"/>
      <c r="I1008" s="140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1"/>
      <c r="AB1008" s="141"/>
      <c r="AC1008" s="141"/>
      <c r="AD1008" s="141"/>
      <c r="AE1008" s="141"/>
      <c r="AF1008" s="141"/>
      <c r="AG1008" s="141"/>
      <c r="AH1008" s="141"/>
      <c r="AI1008" s="141"/>
      <c r="AJ1008" s="141"/>
      <c r="AK1008" s="141"/>
      <c r="AL1008" s="141"/>
      <c r="AM1008" s="141"/>
      <c r="AN1008" s="141"/>
      <c r="AO1008" s="141"/>
      <c r="AP1008" s="141"/>
      <c r="AQ1008" s="141"/>
      <c r="AR1008" s="141"/>
      <c r="AS1008" s="141"/>
      <c r="AT1008" s="141"/>
      <c r="AU1008" s="141"/>
      <c r="AV1008" s="141"/>
      <c r="AW1008" s="141"/>
      <c r="AX1008" s="141"/>
      <c r="AY1008" s="141"/>
      <c r="AZ1008" s="141"/>
      <c r="BA1008" s="141"/>
      <c r="BB1008" s="141"/>
      <c r="BC1008" s="141"/>
      <c r="BD1008" s="141"/>
      <c r="BE1008" s="141"/>
      <c r="BF1008" s="140"/>
      <c r="BG1008" s="139"/>
      <c r="BH1008" s="139"/>
      <c r="BI1008" s="139"/>
      <c r="BJ1008" s="139"/>
      <c r="BK1008" s="139"/>
      <c r="BL1008" s="139"/>
      <c r="BM1008" s="139"/>
      <c r="BN1008" s="139"/>
      <c r="BO1008" s="139"/>
      <c r="BP1008" s="139"/>
      <c r="BQ1008" s="139"/>
      <c r="BR1008" s="139"/>
      <c r="BS1008" s="139"/>
      <c r="BT1008" s="139"/>
      <c r="BU1008" s="139"/>
      <c r="BV1008" s="139"/>
      <c r="BW1008" s="139"/>
      <c r="BX1008" s="139"/>
      <c r="BY1008" s="139"/>
      <c r="BZ1008" s="139"/>
      <c r="CA1008" s="139"/>
      <c r="CB1008" s="142">
        <f t="shared" si="4"/>
        <v>0</v>
      </c>
    </row>
    <row r="1009" spans="8:80" x14ac:dyDescent="0.15">
      <c r="H1009" s="140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1"/>
      <c r="AB1009" s="141"/>
      <c r="AC1009" s="141"/>
      <c r="AD1009" s="141"/>
      <c r="AE1009" s="141"/>
      <c r="AF1009" s="141"/>
      <c r="AG1009" s="141"/>
      <c r="AH1009" s="141"/>
      <c r="AI1009" s="141"/>
      <c r="AJ1009" s="141"/>
      <c r="AK1009" s="141"/>
      <c r="AL1009" s="141"/>
      <c r="AM1009" s="141"/>
      <c r="AN1009" s="141"/>
      <c r="AO1009" s="141"/>
      <c r="AP1009" s="141"/>
      <c r="AQ1009" s="141"/>
      <c r="AR1009" s="141"/>
      <c r="AS1009" s="141"/>
      <c r="AT1009" s="141"/>
      <c r="AU1009" s="141"/>
      <c r="AV1009" s="141"/>
      <c r="AW1009" s="141"/>
      <c r="AX1009" s="141"/>
      <c r="AY1009" s="141"/>
      <c r="AZ1009" s="141"/>
      <c r="BA1009" s="141"/>
      <c r="BB1009" s="141"/>
      <c r="BC1009" s="141"/>
      <c r="BD1009" s="141"/>
      <c r="BE1009" s="141"/>
      <c r="BF1009" s="140"/>
      <c r="BG1009" s="139"/>
      <c r="BH1009" s="139"/>
      <c r="BI1009" s="139"/>
      <c r="BJ1009" s="139"/>
      <c r="BK1009" s="139"/>
      <c r="BL1009" s="139"/>
      <c r="BM1009" s="139"/>
      <c r="BN1009" s="139"/>
      <c r="BO1009" s="139"/>
      <c r="BP1009" s="139"/>
      <c r="BQ1009" s="139"/>
      <c r="BR1009" s="139"/>
      <c r="BS1009" s="139"/>
      <c r="BT1009" s="139"/>
      <c r="BU1009" s="139"/>
      <c r="BV1009" s="139"/>
      <c r="BW1009" s="139"/>
      <c r="BX1009" s="139"/>
      <c r="BY1009" s="139"/>
      <c r="BZ1009" s="139"/>
      <c r="CA1009" s="139"/>
      <c r="CB1009" s="142">
        <f t="shared" si="4"/>
        <v>0</v>
      </c>
    </row>
    <row r="1010" spans="8:80" x14ac:dyDescent="0.15">
      <c r="H1010" s="140"/>
      <c r="I1010" s="140"/>
      <c r="J1010" s="140"/>
      <c r="K1010" s="140"/>
      <c r="L1010" s="140"/>
      <c r="M1010" s="140"/>
      <c r="N1010" s="140"/>
      <c r="O1010" s="140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1"/>
      <c r="AB1010" s="141"/>
      <c r="AC1010" s="141"/>
      <c r="AD1010" s="141"/>
      <c r="AE1010" s="141"/>
      <c r="AF1010" s="141"/>
      <c r="AG1010" s="141"/>
      <c r="AH1010" s="141"/>
      <c r="AI1010" s="141"/>
      <c r="AJ1010" s="141"/>
      <c r="AK1010" s="141"/>
      <c r="AL1010" s="141"/>
      <c r="AM1010" s="141"/>
      <c r="AN1010" s="141"/>
      <c r="AO1010" s="141"/>
      <c r="AP1010" s="141"/>
      <c r="AQ1010" s="141"/>
      <c r="AR1010" s="141"/>
      <c r="AS1010" s="141"/>
      <c r="AT1010" s="141"/>
      <c r="AU1010" s="141"/>
      <c r="AV1010" s="141"/>
      <c r="AW1010" s="141"/>
      <c r="AX1010" s="141"/>
      <c r="AY1010" s="141"/>
      <c r="AZ1010" s="141"/>
      <c r="BA1010" s="141"/>
      <c r="BB1010" s="141"/>
      <c r="BC1010" s="141"/>
      <c r="BD1010" s="141"/>
      <c r="BE1010" s="141"/>
      <c r="BF1010" s="140"/>
      <c r="BG1010" s="139"/>
      <c r="BH1010" s="139"/>
      <c r="BI1010" s="139"/>
      <c r="BJ1010" s="139"/>
      <c r="BK1010" s="139"/>
      <c r="BL1010" s="139"/>
      <c r="BM1010" s="139"/>
      <c r="BN1010" s="139"/>
      <c r="BO1010" s="139"/>
      <c r="BP1010" s="139"/>
      <c r="BQ1010" s="139"/>
      <c r="BR1010" s="139"/>
      <c r="BS1010" s="139"/>
      <c r="BT1010" s="139"/>
      <c r="BU1010" s="139"/>
      <c r="BV1010" s="139"/>
      <c r="BW1010" s="139"/>
      <c r="BX1010" s="139"/>
      <c r="BY1010" s="139"/>
      <c r="BZ1010" s="139"/>
      <c r="CA1010" s="139"/>
      <c r="CB1010" s="142">
        <f t="shared" si="4"/>
        <v>0</v>
      </c>
    </row>
    <row r="1011" spans="8:80" x14ac:dyDescent="0.15">
      <c r="H1011" s="140"/>
      <c r="I1011" s="140"/>
      <c r="J1011" s="140"/>
      <c r="K1011" s="140"/>
      <c r="L1011" s="140"/>
      <c r="M1011" s="140"/>
      <c r="N1011" s="140"/>
      <c r="O1011" s="140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1"/>
      <c r="AB1011" s="141"/>
      <c r="AC1011" s="141"/>
      <c r="AD1011" s="141"/>
      <c r="AE1011" s="141"/>
      <c r="AF1011" s="141"/>
      <c r="AG1011" s="141"/>
      <c r="AH1011" s="141"/>
      <c r="AI1011" s="141"/>
      <c r="AJ1011" s="141"/>
      <c r="AK1011" s="141"/>
      <c r="AL1011" s="141"/>
      <c r="AM1011" s="141"/>
      <c r="AN1011" s="141"/>
      <c r="AO1011" s="141"/>
      <c r="AP1011" s="141"/>
      <c r="AQ1011" s="141"/>
      <c r="AR1011" s="141"/>
      <c r="AS1011" s="141"/>
      <c r="AT1011" s="141"/>
      <c r="AU1011" s="141"/>
      <c r="AV1011" s="141"/>
      <c r="AW1011" s="141"/>
      <c r="AX1011" s="141"/>
      <c r="AY1011" s="141"/>
      <c r="AZ1011" s="141"/>
      <c r="BA1011" s="141"/>
      <c r="BB1011" s="141"/>
      <c r="BC1011" s="141"/>
      <c r="BD1011" s="141"/>
      <c r="BE1011" s="141"/>
      <c r="BF1011" s="140"/>
      <c r="BG1011" s="139"/>
      <c r="BH1011" s="139"/>
      <c r="BI1011" s="139"/>
      <c r="BJ1011" s="139"/>
      <c r="BK1011" s="139"/>
      <c r="BL1011" s="139"/>
      <c r="BM1011" s="139"/>
      <c r="BN1011" s="139"/>
      <c r="BO1011" s="139"/>
      <c r="BP1011" s="139"/>
      <c r="BQ1011" s="139"/>
      <c r="BR1011" s="139"/>
      <c r="BS1011" s="139"/>
      <c r="BT1011" s="139"/>
      <c r="BU1011" s="139"/>
      <c r="BV1011" s="139"/>
      <c r="BW1011" s="139"/>
      <c r="BX1011" s="139"/>
      <c r="BY1011" s="139"/>
      <c r="BZ1011" s="139"/>
      <c r="CA1011" s="139"/>
      <c r="CB1011" s="142">
        <f t="shared" si="4"/>
        <v>0</v>
      </c>
    </row>
    <row r="1012" spans="8:80" x14ac:dyDescent="0.15">
      <c r="H1012" s="140"/>
      <c r="I1012" s="140"/>
      <c r="J1012" s="140"/>
      <c r="K1012" s="140"/>
      <c r="L1012" s="140"/>
      <c r="M1012" s="140"/>
      <c r="N1012" s="140"/>
      <c r="O1012" s="140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1"/>
      <c r="AB1012" s="141"/>
      <c r="AC1012" s="141"/>
      <c r="AD1012" s="141"/>
      <c r="AE1012" s="141"/>
      <c r="AF1012" s="141"/>
      <c r="AG1012" s="141"/>
      <c r="AH1012" s="141"/>
      <c r="AI1012" s="141"/>
      <c r="AJ1012" s="141"/>
      <c r="AK1012" s="141"/>
      <c r="AL1012" s="141"/>
      <c r="AM1012" s="141"/>
      <c r="AN1012" s="141"/>
      <c r="AO1012" s="141"/>
      <c r="AP1012" s="141"/>
      <c r="AQ1012" s="141"/>
      <c r="AR1012" s="141"/>
      <c r="AS1012" s="141"/>
      <c r="AT1012" s="141"/>
      <c r="AU1012" s="141"/>
      <c r="AV1012" s="141"/>
      <c r="AW1012" s="141"/>
      <c r="AX1012" s="141"/>
      <c r="AY1012" s="141"/>
      <c r="AZ1012" s="141"/>
      <c r="BA1012" s="141"/>
      <c r="BB1012" s="141"/>
      <c r="BC1012" s="141"/>
      <c r="BD1012" s="141"/>
      <c r="BE1012" s="141"/>
      <c r="BF1012" s="140"/>
      <c r="BG1012" s="139"/>
      <c r="BH1012" s="139"/>
      <c r="BI1012" s="139"/>
      <c r="BJ1012" s="139"/>
      <c r="BK1012" s="139"/>
      <c r="BL1012" s="139"/>
      <c r="BM1012" s="139"/>
      <c r="BN1012" s="139"/>
      <c r="BO1012" s="139"/>
      <c r="BP1012" s="139"/>
      <c r="BQ1012" s="139"/>
      <c r="BR1012" s="139"/>
      <c r="BS1012" s="139"/>
      <c r="BT1012" s="139"/>
      <c r="BU1012" s="139"/>
      <c r="BV1012" s="139"/>
      <c r="BW1012" s="139"/>
      <c r="BX1012" s="139"/>
      <c r="BY1012" s="139"/>
      <c r="BZ1012" s="139"/>
      <c r="CA1012" s="139"/>
      <c r="CB1012" s="142">
        <f t="shared" si="4"/>
        <v>0</v>
      </c>
    </row>
    <row r="1013" spans="8:80" x14ac:dyDescent="0.15">
      <c r="H1013" s="140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1"/>
      <c r="AB1013" s="141"/>
      <c r="AC1013" s="141"/>
      <c r="AD1013" s="141"/>
      <c r="AE1013" s="141"/>
      <c r="AF1013" s="141"/>
      <c r="AG1013" s="141"/>
      <c r="AH1013" s="141"/>
      <c r="AI1013" s="141"/>
      <c r="AJ1013" s="141"/>
      <c r="AK1013" s="141"/>
      <c r="AL1013" s="141"/>
      <c r="AM1013" s="141"/>
      <c r="AN1013" s="141"/>
      <c r="AO1013" s="141"/>
      <c r="AP1013" s="141"/>
      <c r="AQ1013" s="141"/>
      <c r="AR1013" s="141"/>
      <c r="AS1013" s="141"/>
      <c r="AT1013" s="141"/>
      <c r="AU1013" s="141"/>
      <c r="AV1013" s="141"/>
      <c r="AW1013" s="141"/>
      <c r="AX1013" s="141"/>
      <c r="AY1013" s="141"/>
      <c r="AZ1013" s="141"/>
      <c r="BA1013" s="141"/>
      <c r="BB1013" s="141"/>
      <c r="BC1013" s="141"/>
      <c r="BD1013" s="141"/>
      <c r="BE1013" s="141"/>
      <c r="BF1013" s="140"/>
      <c r="BG1013" s="139"/>
      <c r="BH1013" s="139"/>
      <c r="BI1013" s="139"/>
      <c r="BJ1013" s="139"/>
      <c r="BK1013" s="139"/>
      <c r="BL1013" s="139"/>
      <c r="BM1013" s="139"/>
      <c r="BN1013" s="139"/>
      <c r="BO1013" s="139"/>
      <c r="BP1013" s="139"/>
      <c r="BQ1013" s="139"/>
      <c r="BR1013" s="139"/>
      <c r="BS1013" s="139"/>
      <c r="BT1013" s="139"/>
      <c r="BU1013" s="139"/>
      <c r="BV1013" s="139"/>
      <c r="BW1013" s="139"/>
      <c r="BX1013" s="139"/>
      <c r="BY1013" s="139"/>
      <c r="BZ1013" s="139"/>
      <c r="CA1013" s="139"/>
      <c r="CB1013" s="142">
        <f t="shared" si="4"/>
        <v>0</v>
      </c>
    </row>
    <row r="1014" spans="8:80" x14ac:dyDescent="0.15">
      <c r="H1014" s="140"/>
      <c r="I1014" s="140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1"/>
      <c r="AB1014" s="141"/>
      <c r="AC1014" s="141"/>
      <c r="AD1014" s="141"/>
      <c r="AE1014" s="141"/>
      <c r="AF1014" s="141"/>
      <c r="AG1014" s="141"/>
      <c r="AH1014" s="141"/>
      <c r="AI1014" s="141"/>
      <c r="AJ1014" s="141"/>
      <c r="AK1014" s="141"/>
      <c r="AL1014" s="141"/>
      <c r="AM1014" s="141"/>
      <c r="AN1014" s="141"/>
      <c r="AO1014" s="141"/>
      <c r="AP1014" s="141"/>
      <c r="AQ1014" s="141"/>
      <c r="AR1014" s="141"/>
      <c r="AS1014" s="141"/>
      <c r="AT1014" s="141"/>
      <c r="AU1014" s="141"/>
      <c r="AV1014" s="141"/>
      <c r="AW1014" s="141"/>
      <c r="AX1014" s="141"/>
      <c r="AY1014" s="141"/>
      <c r="AZ1014" s="141"/>
      <c r="BA1014" s="141"/>
      <c r="BB1014" s="141"/>
      <c r="BC1014" s="141"/>
      <c r="BD1014" s="141"/>
      <c r="BE1014" s="141"/>
      <c r="BF1014" s="140"/>
      <c r="BG1014" s="139"/>
      <c r="BH1014" s="139"/>
      <c r="BI1014" s="139"/>
      <c r="BJ1014" s="139"/>
      <c r="BK1014" s="139"/>
      <c r="BL1014" s="139"/>
      <c r="BM1014" s="139"/>
      <c r="BN1014" s="139"/>
      <c r="BO1014" s="139"/>
      <c r="BP1014" s="139"/>
      <c r="BQ1014" s="139"/>
      <c r="BR1014" s="139"/>
      <c r="BS1014" s="139"/>
      <c r="BT1014" s="139"/>
      <c r="BU1014" s="139"/>
      <c r="BV1014" s="139"/>
      <c r="BW1014" s="139"/>
      <c r="BX1014" s="139"/>
      <c r="BY1014" s="139"/>
      <c r="BZ1014" s="139"/>
      <c r="CA1014" s="139"/>
      <c r="CB1014" s="142">
        <f t="shared" si="4"/>
        <v>0</v>
      </c>
    </row>
    <row r="1015" spans="8:80" x14ac:dyDescent="0.15">
      <c r="H1015" s="140"/>
      <c r="I1015" s="140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1"/>
      <c r="AB1015" s="141"/>
      <c r="AC1015" s="141"/>
      <c r="AD1015" s="141"/>
      <c r="AE1015" s="141"/>
      <c r="AF1015" s="141"/>
      <c r="AG1015" s="141"/>
      <c r="AH1015" s="141"/>
      <c r="AI1015" s="141"/>
      <c r="AJ1015" s="141"/>
      <c r="AK1015" s="141"/>
      <c r="AL1015" s="141"/>
      <c r="AM1015" s="141"/>
      <c r="AN1015" s="141"/>
      <c r="AO1015" s="141"/>
      <c r="AP1015" s="141"/>
      <c r="AQ1015" s="141"/>
      <c r="AR1015" s="141"/>
      <c r="AS1015" s="141"/>
      <c r="AT1015" s="141"/>
      <c r="AU1015" s="141"/>
      <c r="AV1015" s="141"/>
      <c r="AW1015" s="141"/>
      <c r="AX1015" s="141"/>
      <c r="AY1015" s="141"/>
      <c r="AZ1015" s="141"/>
      <c r="BA1015" s="141"/>
      <c r="BB1015" s="141"/>
      <c r="BC1015" s="141"/>
      <c r="BD1015" s="141"/>
      <c r="BE1015" s="141"/>
      <c r="BF1015" s="140"/>
      <c r="BG1015" s="139"/>
      <c r="BH1015" s="139"/>
      <c r="BI1015" s="139"/>
      <c r="BJ1015" s="139"/>
      <c r="BK1015" s="139"/>
      <c r="BL1015" s="139"/>
      <c r="BM1015" s="139"/>
      <c r="BN1015" s="139"/>
      <c r="BO1015" s="139"/>
      <c r="BP1015" s="139"/>
      <c r="BQ1015" s="139"/>
      <c r="BR1015" s="139"/>
      <c r="BS1015" s="139"/>
      <c r="BT1015" s="139"/>
      <c r="BU1015" s="139"/>
      <c r="BV1015" s="139"/>
      <c r="BW1015" s="139"/>
      <c r="BX1015" s="139"/>
      <c r="BY1015" s="139"/>
      <c r="BZ1015" s="139"/>
      <c r="CA1015" s="139"/>
      <c r="CB1015" s="142">
        <f t="shared" si="4"/>
        <v>0</v>
      </c>
    </row>
    <row r="1016" spans="8:80" x14ac:dyDescent="0.15">
      <c r="H1016" s="140"/>
      <c r="I1016" s="140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1"/>
      <c r="AB1016" s="141"/>
      <c r="AC1016" s="141"/>
      <c r="AD1016" s="141"/>
      <c r="AE1016" s="141"/>
      <c r="AF1016" s="141"/>
      <c r="AG1016" s="141"/>
      <c r="AH1016" s="141"/>
      <c r="AI1016" s="141"/>
      <c r="AJ1016" s="141"/>
      <c r="AK1016" s="141"/>
      <c r="AL1016" s="141"/>
      <c r="AM1016" s="141"/>
      <c r="AN1016" s="141"/>
      <c r="AO1016" s="141"/>
      <c r="AP1016" s="141"/>
      <c r="AQ1016" s="141"/>
      <c r="AR1016" s="141"/>
      <c r="AS1016" s="141"/>
      <c r="AT1016" s="141"/>
      <c r="AU1016" s="141"/>
      <c r="AV1016" s="141"/>
      <c r="AW1016" s="141"/>
      <c r="AX1016" s="141"/>
      <c r="AY1016" s="141"/>
      <c r="AZ1016" s="141"/>
      <c r="BA1016" s="141"/>
      <c r="BB1016" s="141"/>
      <c r="BC1016" s="141"/>
      <c r="BD1016" s="141"/>
      <c r="BE1016" s="141"/>
      <c r="BF1016" s="140"/>
      <c r="BG1016" s="139"/>
      <c r="BH1016" s="139"/>
      <c r="BI1016" s="139"/>
      <c r="BJ1016" s="139"/>
      <c r="BK1016" s="139"/>
      <c r="BL1016" s="139"/>
      <c r="BM1016" s="139"/>
      <c r="BN1016" s="139"/>
      <c r="BO1016" s="139"/>
      <c r="BP1016" s="139"/>
      <c r="BQ1016" s="139"/>
      <c r="BR1016" s="139"/>
      <c r="BS1016" s="139"/>
      <c r="BT1016" s="139"/>
      <c r="BU1016" s="139"/>
      <c r="BV1016" s="139"/>
      <c r="BW1016" s="139"/>
      <c r="BX1016" s="139"/>
      <c r="BY1016" s="139"/>
      <c r="BZ1016" s="139"/>
      <c r="CA1016" s="139"/>
      <c r="CB1016" s="142">
        <f t="shared" si="4"/>
        <v>0</v>
      </c>
    </row>
    <row r="1017" spans="8:80" x14ac:dyDescent="0.15">
      <c r="H1017" s="140"/>
      <c r="I1017" s="140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1"/>
      <c r="AB1017" s="141"/>
      <c r="AC1017" s="141"/>
      <c r="AD1017" s="141"/>
      <c r="AE1017" s="141"/>
      <c r="AF1017" s="141"/>
      <c r="AG1017" s="141"/>
      <c r="AH1017" s="141"/>
      <c r="AI1017" s="141"/>
      <c r="AJ1017" s="141"/>
      <c r="AK1017" s="141"/>
      <c r="AL1017" s="141"/>
      <c r="AM1017" s="141"/>
      <c r="AN1017" s="141"/>
      <c r="AO1017" s="141"/>
      <c r="AP1017" s="141"/>
      <c r="AQ1017" s="141"/>
      <c r="AR1017" s="141"/>
      <c r="AS1017" s="141"/>
      <c r="AT1017" s="141"/>
      <c r="AU1017" s="141"/>
      <c r="AV1017" s="141"/>
      <c r="AW1017" s="141"/>
      <c r="AX1017" s="141"/>
      <c r="AY1017" s="141"/>
      <c r="AZ1017" s="141"/>
      <c r="BA1017" s="141"/>
      <c r="BB1017" s="141"/>
      <c r="BC1017" s="141"/>
      <c r="BD1017" s="141"/>
      <c r="BE1017" s="141"/>
      <c r="BF1017" s="140"/>
      <c r="BG1017" s="139"/>
      <c r="BH1017" s="139"/>
      <c r="BI1017" s="139"/>
      <c r="BJ1017" s="139"/>
      <c r="BK1017" s="139"/>
      <c r="BL1017" s="139"/>
      <c r="BM1017" s="139"/>
      <c r="BN1017" s="139"/>
      <c r="BO1017" s="139"/>
      <c r="BP1017" s="139"/>
      <c r="BQ1017" s="139"/>
      <c r="BR1017" s="139"/>
      <c r="BS1017" s="139"/>
      <c r="BT1017" s="139"/>
      <c r="BU1017" s="139"/>
      <c r="BV1017" s="139"/>
      <c r="BW1017" s="139"/>
      <c r="BX1017" s="139"/>
      <c r="BY1017" s="139"/>
      <c r="BZ1017" s="139"/>
      <c r="CA1017" s="139"/>
      <c r="CB1017" s="142">
        <f t="shared" si="4"/>
        <v>0</v>
      </c>
    </row>
    <row r="1018" spans="8:80" x14ac:dyDescent="0.15">
      <c r="H1018" s="140"/>
      <c r="I1018" s="140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1"/>
      <c r="AB1018" s="141"/>
      <c r="AC1018" s="141"/>
      <c r="AD1018" s="141"/>
      <c r="AE1018" s="141"/>
      <c r="AF1018" s="141"/>
      <c r="AG1018" s="141"/>
      <c r="AH1018" s="141"/>
      <c r="AI1018" s="141"/>
      <c r="AJ1018" s="141"/>
      <c r="AK1018" s="141"/>
      <c r="AL1018" s="141"/>
      <c r="AM1018" s="141"/>
      <c r="AN1018" s="141"/>
      <c r="AO1018" s="141"/>
      <c r="AP1018" s="141"/>
      <c r="AQ1018" s="141"/>
      <c r="AR1018" s="141"/>
      <c r="AS1018" s="141"/>
      <c r="AT1018" s="141"/>
      <c r="AU1018" s="141"/>
      <c r="AV1018" s="141"/>
      <c r="AW1018" s="141"/>
      <c r="AX1018" s="141"/>
      <c r="AY1018" s="141"/>
      <c r="AZ1018" s="141"/>
      <c r="BA1018" s="141"/>
      <c r="BB1018" s="141"/>
      <c r="BC1018" s="141"/>
      <c r="BD1018" s="141"/>
      <c r="BE1018" s="141"/>
      <c r="BF1018" s="140"/>
      <c r="BG1018" s="139"/>
      <c r="BH1018" s="139"/>
      <c r="BI1018" s="139"/>
      <c r="BJ1018" s="139"/>
      <c r="BK1018" s="139"/>
      <c r="BL1018" s="139"/>
      <c r="BM1018" s="139"/>
      <c r="BN1018" s="139"/>
      <c r="BO1018" s="139"/>
      <c r="BP1018" s="139"/>
      <c r="BQ1018" s="139"/>
      <c r="BR1018" s="139"/>
      <c r="BS1018" s="139"/>
      <c r="BT1018" s="139"/>
      <c r="BU1018" s="139"/>
      <c r="BV1018" s="139"/>
      <c r="BW1018" s="139"/>
      <c r="BX1018" s="139"/>
      <c r="BY1018" s="139"/>
      <c r="BZ1018" s="139"/>
      <c r="CA1018" s="139"/>
      <c r="CB1018" s="142">
        <f t="shared" si="4"/>
        <v>0</v>
      </c>
    </row>
    <row r="1019" spans="8:80" x14ac:dyDescent="0.15">
      <c r="H1019" s="140"/>
      <c r="I1019" s="140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1"/>
      <c r="AB1019" s="141"/>
      <c r="AC1019" s="141"/>
      <c r="AD1019" s="141"/>
      <c r="AE1019" s="141"/>
      <c r="AF1019" s="141"/>
      <c r="AG1019" s="141"/>
      <c r="AH1019" s="141"/>
      <c r="AI1019" s="141"/>
      <c r="AJ1019" s="141"/>
      <c r="AK1019" s="141"/>
      <c r="AL1019" s="141"/>
      <c r="AM1019" s="141"/>
      <c r="AN1019" s="141"/>
      <c r="AO1019" s="141"/>
      <c r="AP1019" s="141"/>
      <c r="AQ1019" s="141"/>
      <c r="AR1019" s="141"/>
      <c r="AS1019" s="141"/>
      <c r="AT1019" s="141"/>
      <c r="AU1019" s="141"/>
      <c r="AV1019" s="141"/>
      <c r="AW1019" s="141"/>
      <c r="AX1019" s="141"/>
      <c r="AY1019" s="141"/>
      <c r="AZ1019" s="141"/>
      <c r="BA1019" s="141"/>
      <c r="BB1019" s="141"/>
      <c r="BC1019" s="141"/>
      <c r="BD1019" s="141"/>
      <c r="BE1019" s="141"/>
      <c r="BF1019" s="140"/>
      <c r="BG1019" s="139"/>
      <c r="BH1019" s="139"/>
      <c r="BI1019" s="139"/>
      <c r="BJ1019" s="139"/>
      <c r="BK1019" s="139"/>
      <c r="BL1019" s="139"/>
      <c r="BM1019" s="139"/>
      <c r="BN1019" s="139"/>
      <c r="BO1019" s="139"/>
      <c r="BP1019" s="139"/>
      <c r="BQ1019" s="139"/>
      <c r="BR1019" s="139"/>
      <c r="BS1019" s="139"/>
      <c r="BT1019" s="139"/>
      <c r="BU1019" s="139"/>
      <c r="BV1019" s="139"/>
      <c r="BW1019" s="139"/>
      <c r="BX1019" s="139"/>
      <c r="BY1019" s="139"/>
      <c r="BZ1019" s="139"/>
      <c r="CA1019" s="139"/>
      <c r="CB1019" s="142">
        <f t="shared" si="4"/>
        <v>0</v>
      </c>
    </row>
    <row r="1020" spans="8:80" x14ac:dyDescent="0.15">
      <c r="H1020" s="140"/>
      <c r="I1020" s="140"/>
      <c r="J1020" s="140"/>
      <c r="K1020" s="140"/>
      <c r="L1020" s="140"/>
      <c r="M1020" s="140"/>
      <c r="N1020" s="140"/>
      <c r="O1020" s="140"/>
      <c r="P1020" s="140"/>
      <c r="Q1020" s="140"/>
      <c r="R1020" s="140"/>
      <c r="S1020" s="140"/>
      <c r="T1020" s="140"/>
      <c r="U1020" s="140"/>
      <c r="V1020" s="140"/>
      <c r="W1020" s="140"/>
      <c r="X1020" s="140"/>
      <c r="Y1020" s="140"/>
      <c r="Z1020" s="140"/>
      <c r="AA1020" s="141"/>
      <c r="AB1020" s="141"/>
      <c r="AC1020" s="141"/>
      <c r="AD1020" s="141"/>
      <c r="AE1020" s="141"/>
      <c r="AF1020" s="141"/>
      <c r="AG1020" s="141"/>
      <c r="AH1020" s="141"/>
      <c r="AI1020" s="141"/>
      <c r="AJ1020" s="141"/>
      <c r="AK1020" s="141"/>
      <c r="AL1020" s="141"/>
      <c r="AM1020" s="141"/>
      <c r="AN1020" s="141"/>
      <c r="AO1020" s="141"/>
      <c r="AP1020" s="141"/>
      <c r="AQ1020" s="141"/>
      <c r="AR1020" s="141"/>
      <c r="AS1020" s="141"/>
      <c r="AT1020" s="141"/>
      <c r="AU1020" s="141"/>
      <c r="AV1020" s="141"/>
      <c r="AW1020" s="141"/>
      <c r="AX1020" s="141"/>
      <c r="AY1020" s="141"/>
      <c r="AZ1020" s="141"/>
      <c r="BA1020" s="141"/>
      <c r="BB1020" s="141"/>
      <c r="BC1020" s="141"/>
      <c r="BD1020" s="141"/>
      <c r="BE1020" s="141"/>
      <c r="BF1020" s="140"/>
      <c r="BG1020" s="139"/>
      <c r="BH1020" s="139"/>
      <c r="BI1020" s="139"/>
      <c r="BJ1020" s="139"/>
      <c r="BK1020" s="139"/>
      <c r="BL1020" s="139"/>
      <c r="BM1020" s="139"/>
      <c r="BN1020" s="139"/>
      <c r="BO1020" s="139"/>
      <c r="BP1020" s="139"/>
      <c r="BQ1020" s="139"/>
      <c r="BR1020" s="139"/>
      <c r="BS1020" s="139"/>
      <c r="BT1020" s="139"/>
      <c r="BU1020" s="139"/>
      <c r="BV1020" s="139"/>
      <c r="BW1020" s="139"/>
      <c r="BX1020" s="139"/>
      <c r="BY1020" s="139"/>
      <c r="BZ1020" s="139"/>
      <c r="CA1020" s="139"/>
      <c r="CB1020" s="142">
        <f t="shared" si="4"/>
        <v>0</v>
      </c>
    </row>
    <row r="1021" spans="8:80" x14ac:dyDescent="0.15">
      <c r="H1021" s="140"/>
      <c r="I1021" s="140"/>
      <c r="J1021" s="140"/>
      <c r="K1021" s="140"/>
      <c r="L1021" s="140"/>
      <c r="M1021" s="140"/>
      <c r="N1021" s="140"/>
      <c r="O1021" s="140"/>
      <c r="P1021" s="140"/>
      <c r="Q1021" s="140"/>
      <c r="R1021" s="140"/>
      <c r="S1021" s="140"/>
      <c r="T1021" s="140"/>
      <c r="U1021" s="140"/>
      <c r="V1021" s="140"/>
      <c r="W1021" s="140"/>
      <c r="X1021" s="140"/>
      <c r="Y1021" s="140"/>
      <c r="Z1021" s="140"/>
      <c r="AA1021" s="141"/>
      <c r="AB1021" s="141"/>
      <c r="AC1021" s="141"/>
      <c r="AD1021" s="141"/>
      <c r="AE1021" s="141"/>
      <c r="AF1021" s="141"/>
      <c r="AG1021" s="141"/>
      <c r="AH1021" s="141"/>
      <c r="AI1021" s="141"/>
      <c r="AJ1021" s="141"/>
      <c r="AK1021" s="141"/>
      <c r="AL1021" s="141"/>
      <c r="AM1021" s="141"/>
      <c r="AN1021" s="141"/>
      <c r="AO1021" s="141"/>
      <c r="AP1021" s="141"/>
      <c r="AQ1021" s="141"/>
      <c r="AR1021" s="141"/>
      <c r="AS1021" s="141"/>
      <c r="AT1021" s="141"/>
      <c r="AU1021" s="141"/>
      <c r="AV1021" s="141"/>
      <c r="AW1021" s="141"/>
      <c r="AX1021" s="141"/>
      <c r="AY1021" s="141"/>
      <c r="AZ1021" s="141"/>
      <c r="BA1021" s="141"/>
      <c r="BB1021" s="141"/>
      <c r="BC1021" s="141"/>
      <c r="BD1021" s="141"/>
      <c r="BE1021" s="141"/>
      <c r="BF1021" s="140"/>
      <c r="BG1021" s="139"/>
      <c r="BH1021" s="139"/>
      <c r="BI1021" s="139"/>
      <c r="BJ1021" s="139"/>
      <c r="BK1021" s="139"/>
      <c r="BL1021" s="139"/>
      <c r="BM1021" s="139"/>
      <c r="BN1021" s="139"/>
      <c r="BO1021" s="139"/>
      <c r="BP1021" s="139"/>
      <c r="BQ1021" s="139"/>
      <c r="BR1021" s="139"/>
      <c r="BS1021" s="139"/>
      <c r="BT1021" s="139"/>
      <c r="BU1021" s="139"/>
      <c r="BV1021" s="139"/>
      <c r="BW1021" s="139"/>
      <c r="BX1021" s="139"/>
      <c r="BY1021" s="139"/>
      <c r="BZ1021" s="139"/>
      <c r="CA1021" s="139"/>
      <c r="CB1021" s="142">
        <f t="shared" si="4"/>
        <v>0</v>
      </c>
    </row>
    <row r="1022" spans="8:80" x14ac:dyDescent="0.15">
      <c r="H1022" s="140"/>
      <c r="I1022" s="140"/>
      <c r="J1022" s="140"/>
      <c r="K1022" s="140"/>
      <c r="L1022" s="140"/>
      <c r="M1022" s="140"/>
      <c r="N1022" s="140"/>
      <c r="O1022" s="140"/>
      <c r="P1022" s="140"/>
      <c r="Q1022" s="140"/>
      <c r="R1022" s="140"/>
      <c r="S1022" s="140"/>
      <c r="T1022" s="140"/>
      <c r="U1022" s="140"/>
      <c r="V1022" s="140"/>
      <c r="W1022" s="140"/>
      <c r="X1022" s="140"/>
      <c r="Y1022" s="140"/>
      <c r="Z1022" s="140"/>
      <c r="AA1022" s="141"/>
      <c r="AB1022" s="141"/>
      <c r="AC1022" s="141"/>
      <c r="AD1022" s="141"/>
      <c r="AE1022" s="141"/>
      <c r="AF1022" s="141"/>
      <c r="AG1022" s="141"/>
      <c r="AH1022" s="141"/>
      <c r="AI1022" s="141"/>
      <c r="AJ1022" s="141"/>
      <c r="AK1022" s="141"/>
      <c r="AL1022" s="141"/>
      <c r="AM1022" s="141"/>
      <c r="AN1022" s="141"/>
      <c r="AO1022" s="141"/>
      <c r="AP1022" s="141"/>
      <c r="AQ1022" s="141"/>
      <c r="AR1022" s="141"/>
      <c r="AS1022" s="141"/>
      <c r="AT1022" s="141"/>
      <c r="AU1022" s="141"/>
      <c r="AV1022" s="141"/>
      <c r="AW1022" s="141"/>
      <c r="AX1022" s="141"/>
      <c r="AY1022" s="141"/>
      <c r="AZ1022" s="141"/>
      <c r="BA1022" s="141"/>
      <c r="BB1022" s="141"/>
      <c r="BC1022" s="141"/>
      <c r="BD1022" s="141"/>
      <c r="BE1022" s="141"/>
      <c r="BF1022" s="140"/>
      <c r="BG1022" s="139"/>
      <c r="BH1022" s="139"/>
      <c r="BI1022" s="139"/>
      <c r="BJ1022" s="139"/>
      <c r="BK1022" s="139"/>
      <c r="BL1022" s="139"/>
      <c r="BM1022" s="139"/>
      <c r="BN1022" s="139"/>
      <c r="BO1022" s="139"/>
      <c r="BP1022" s="139"/>
      <c r="BQ1022" s="139"/>
      <c r="BR1022" s="139"/>
      <c r="BS1022" s="139"/>
      <c r="BT1022" s="139"/>
      <c r="BU1022" s="139"/>
      <c r="BV1022" s="139"/>
      <c r="BW1022" s="139"/>
      <c r="BX1022" s="139"/>
      <c r="BY1022" s="139"/>
      <c r="BZ1022" s="139"/>
      <c r="CA1022" s="139"/>
      <c r="CB1022" s="142">
        <f t="shared" si="4"/>
        <v>0</v>
      </c>
    </row>
    <row r="1023" spans="8:80" x14ac:dyDescent="0.15">
      <c r="H1023" s="140"/>
      <c r="I1023" s="140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1"/>
      <c r="AB1023" s="141"/>
      <c r="AC1023" s="141"/>
      <c r="AD1023" s="141"/>
      <c r="AE1023" s="141"/>
      <c r="AF1023" s="141"/>
      <c r="AG1023" s="141"/>
      <c r="AH1023" s="141"/>
      <c r="AI1023" s="141"/>
      <c r="AJ1023" s="141"/>
      <c r="AK1023" s="141"/>
      <c r="AL1023" s="141"/>
      <c r="AM1023" s="141"/>
      <c r="AN1023" s="141"/>
      <c r="AO1023" s="141"/>
      <c r="AP1023" s="141"/>
      <c r="AQ1023" s="141"/>
      <c r="AR1023" s="141"/>
      <c r="AS1023" s="141"/>
      <c r="AT1023" s="141"/>
      <c r="AU1023" s="141"/>
      <c r="AV1023" s="141"/>
      <c r="AW1023" s="141"/>
      <c r="AX1023" s="141"/>
      <c r="AY1023" s="141"/>
      <c r="AZ1023" s="141"/>
      <c r="BA1023" s="141"/>
      <c r="BB1023" s="141"/>
      <c r="BC1023" s="141"/>
      <c r="BD1023" s="141"/>
      <c r="BE1023" s="141"/>
      <c r="BF1023" s="140"/>
      <c r="BG1023" s="139"/>
      <c r="BH1023" s="139"/>
      <c r="BI1023" s="139"/>
      <c r="BJ1023" s="139"/>
      <c r="BK1023" s="139"/>
      <c r="BL1023" s="139"/>
      <c r="BM1023" s="139"/>
      <c r="BN1023" s="139"/>
      <c r="BO1023" s="139"/>
      <c r="BP1023" s="139"/>
      <c r="BQ1023" s="139"/>
      <c r="BR1023" s="139"/>
      <c r="BS1023" s="139"/>
      <c r="BT1023" s="139"/>
      <c r="BU1023" s="139"/>
      <c r="BV1023" s="139"/>
      <c r="BW1023" s="139"/>
      <c r="BX1023" s="139"/>
      <c r="BY1023" s="139"/>
      <c r="BZ1023" s="139"/>
      <c r="CA1023" s="139"/>
      <c r="CB1023" s="142">
        <f t="shared" si="4"/>
        <v>0</v>
      </c>
    </row>
    <row r="1024" spans="8:80" x14ac:dyDescent="0.15">
      <c r="H1024" s="140"/>
      <c r="I1024" s="140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1"/>
      <c r="AB1024" s="141"/>
      <c r="AC1024" s="141"/>
      <c r="AD1024" s="141"/>
      <c r="AE1024" s="141"/>
      <c r="AF1024" s="141"/>
      <c r="AG1024" s="141"/>
      <c r="AH1024" s="141"/>
      <c r="AI1024" s="141"/>
      <c r="AJ1024" s="141"/>
      <c r="AK1024" s="141"/>
      <c r="AL1024" s="141"/>
      <c r="AM1024" s="141"/>
      <c r="AN1024" s="141"/>
      <c r="AO1024" s="141"/>
      <c r="AP1024" s="141"/>
      <c r="AQ1024" s="141"/>
      <c r="AR1024" s="141"/>
      <c r="AS1024" s="141"/>
      <c r="AT1024" s="141"/>
      <c r="AU1024" s="141"/>
      <c r="AV1024" s="141"/>
      <c r="AW1024" s="141"/>
      <c r="AX1024" s="141"/>
      <c r="AY1024" s="141"/>
      <c r="AZ1024" s="141"/>
      <c r="BA1024" s="141"/>
      <c r="BB1024" s="141"/>
      <c r="BC1024" s="141"/>
      <c r="BD1024" s="141"/>
      <c r="BE1024" s="141"/>
      <c r="BF1024" s="140"/>
      <c r="BG1024" s="139"/>
      <c r="BH1024" s="139"/>
      <c r="BI1024" s="139"/>
      <c r="BJ1024" s="139"/>
      <c r="BK1024" s="139"/>
      <c r="BL1024" s="139"/>
      <c r="BM1024" s="139"/>
      <c r="BN1024" s="139"/>
      <c r="BO1024" s="139"/>
      <c r="BP1024" s="139"/>
      <c r="BQ1024" s="139"/>
      <c r="BR1024" s="139"/>
      <c r="BS1024" s="139"/>
      <c r="BT1024" s="139"/>
      <c r="BU1024" s="139"/>
      <c r="BV1024" s="139"/>
      <c r="BW1024" s="139"/>
      <c r="BX1024" s="139"/>
      <c r="BY1024" s="139"/>
      <c r="BZ1024" s="139"/>
      <c r="CA1024" s="139"/>
      <c r="CB1024" s="142">
        <f t="shared" si="4"/>
        <v>0</v>
      </c>
    </row>
    <row r="1025" spans="8:80" x14ac:dyDescent="0.15">
      <c r="H1025" s="140"/>
      <c r="I1025" s="140"/>
      <c r="J1025" s="140"/>
      <c r="K1025" s="140"/>
      <c r="L1025" s="140"/>
      <c r="M1025" s="140"/>
      <c r="N1025" s="140"/>
      <c r="O1025" s="140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1"/>
      <c r="AB1025" s="141"/>
      <c r="AC1025" s="141"/>
      <c r="AD1025" s="141"/>
      <c r="AE1025" s="141"/>
      <c r="AF1025" s="141"/>
      <c r="AG1025" s="141"/>
      <c r="AH1025" s="141"/>
      <c r="AI1025" s="141"/>
      <c r="AJ1025" s="141"/>
      <c r="AK1025" s="141"/>
      <c r="AL1025" s="141"/>
      <c r="AM1025" s="141"/>
      <c r="AN1025" s="141"/>
      <c r="AO1025" s="141"/>
      <c r="AP1025" s="141"/>
      <c r="AQ1025" s="141"/>
      <c r="AR1025" s="141"/>
      <c r="AS1025" s="141"/>
      <c r="AT1025" s="141"/>
      <c r="AU1025" s="141"/>
      <c r="AV1025" s="141"/>
      <c r="AW1025" s="141"/>
      <c r="AX1025" s="141"/>
      <c r="AY1025" s="141"/>
      <c r="AZ1025" s="141"/>
      <c r="BA1025" s="141"/>
      <c r="BB1025" s="141"/>
      <c r="BC1025" s="141"/>
      <c r="BD1025" s="141"/>
      <c r="BE1025" s="141"/>
      <c r="BF1025" s="140"/>
      <c r="BG1025" s="139"/>
      <c r="BH1025" s="139"/>
      <c r="BI1025" s="139"/>
      <c r="BJ1025" s="139"/>
      <c r="BK1025" s="139"/>
      <c r="BL1025" s="139"/>
      <c r="BM1025" s="139"/>
      <c r="BN1025" s="139"/>
      <c r="BO1025" s="139"/>
      <c r="BP1025" s="139"/>
      <c r="BQ1025" s="139"/>
      <c r="BR1025" s="139"/>
      <c r="BS1025" s="139"/>
      <c r="BT1025" s="139"/>
      <c r="BU1025" s="139"/>
      <c r="BV1025" s="139"/>
      <c r="BW1025" s="139"/>
      <c r="BX1025" s="139"/>
      <c r="BY1025" s="139"/>
      <c r="BZ1025" s="139"/>
      <c r="CA1025" s="139"/>
      <c r="CB1025" s="142">
        <f t="shared" si="4"/>
        <v>0</v>
      </c>
    </row>
    <row r="1026" spans="8:80" x14ac:dyDescent="0.15">
      <c r="H1026" s="140"/>
      <c r="I1026" s="140"/>
      <c r="J1026" s="140"/>
      <c r="K1026" s="140"/>
      <c r="L1026" s="140"/>
      <c r="M1026" s="140"/>
      <c r="N1026" s="140"/>
      <c r="O1026" s="140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1"/>
      <c r="AB1026" s="141"/>
      <c r="AC1026" s="141"/>
      <c r="AD1026" s="141"/>
      <c r="AE1026" s="141"/>
      <c r="AF1026" s="141"/>
      <c r="AG1026" s="141"/>
      <c r="AH1026" s="141"/>
      <c r="AI1026" s="141"/>
      <c r="AJ1026" s="141"/>
      <c r="AK1026" s="141"/>
      <c r="AL1026" s="141"/>
      <c r="AM1026" s="141"/>
      <c r="AN1026" s="141"/>
      <c r="AO1026" s="141"/>
      <c r="AP1026" s="141"/>
      <c r="AQ1026" s="141"/>
      <c r="AR1026" s="141"/>
      <c r="AS1026" s="141"/>
      <c r="AT1026" s="141"/>
      <c r="AU1026" s="141"/>
      <c r="AV1026" s="141"/>
      <c r="AW1026" s="141"/>
      <c r="AX1026" s="141"/>
      <c r="AY1026" s="141"/>
      <c r="AZ1026" s="141"/>
      <c r="BA1026" s="141"/>
      <c r="BB1026" s="141"/>
      <c r="BC1026" s="141"/>
      <c r="BD1026" s="141"/>
      <c r="BE1026" s="141"/>
      <c r="BF1026" s="140"/>
      <c r="BG1026" s="139"/>
      <c r="BH1026" s="139"/>
      <c r="BI1026" s="139"/>
      <c r="BJ1026" s="139"/>
      <c r="BK1026" s="139"/>
      <c r="BL1026" s="139"/>
      <c r="BM1026" s="139"/>
      <c r="BN1026" s="139"/>
      <c r="BO1026" s="139"/>
      <c r="BP1026" s="139"/>
      <c r="BQ1026" s="139"/>
      <c r="BR1026" s="139"/>
      <c r="BS1026" s="139"/>
      <c r="BT1026" s="139"/>
      <c r="BU1026" s="139"/>
      <c r="BV1026" s="139"/>
      <c r="BW1026" s="139"/>
      <c r="BX1026" s="139"/>
      <c r="BY1026" s="139"/>
      <c r="BZ1026" s="139"/>
      <c r="CA1026" s="139"/>
      <c r="CB1026" s="142">
        <f t="shared" si="4"/>
        <v>0</v>
      </c>
    </row>
    <row r="1027" spans="8:80" x14ac:dyDescent="0.15">
      <c r="H1027" s="140"/>
      <c r="I1027" s="140"/>
      <c r="J1027" s="140"/>
      <c r="K1027" s="140"/>
      <c r="L1027" s="140"/>
      <c r="M1027" s="140"/>
      <c r="N1027" s="140"/>
      <c r="O1027" s="140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1"/>
      <c r="AB1027" s="141"/>
      <c r="AC1027" s="141"/>
      <c r="AD1027" s="141"/>
      <c r="AE1027" s="141"/>
      <c r="AF1027" s="141"/>
      <c r="AG1027" s="141"/>
      <c r="AH1027" s="141"/>
      <c r="AI1027" s="141"/>
      <c r="AJ1027" s="141"/>
      <c r="AK1027" s="141"/>
      <c r="AL1027" s="141"/>
      <c r="AM1027" s="141"/>
      <c r="AN1027" s="141"/>
      <c r="AO1027" s="141"/>
      <c r="AP1027" s="141"/>
      <c r="AQ1027" s="141"/>
      <c r="AR1027" s="141"/>
      <c r="AS1027" s="141"/>
      <c r="AT1027" s="141"/>
      <c r="AU1027" s="141"/>
      <c r="AV1027" s="141"/>
      <c r="AW1027" s="141"/>
      <c r="AX1027" s="141"/>
      <c r="AY1027" s="141"/>
      <c r="AZ1027" s="141"/>
      <c r="BA1027" s="141"/>
      <c r="BB1027" s="141"/>
      <c r="BC1027" s="141"/>
      <c r="BD1027" s="141"/>
      <c r="BE1027" s="141"/>
      <c r="BF1027" s="140"/>
      <c r="BG1027" s="139"/>
      <c r="BH1027" s="139"/>
      <c r="BI1027" s="139"/>
      <c r="BJ1027" s="139"/>
      <c r="BK1027" s="139"/>
      <c r="BL1027" s="139"/>
      <c r="BM1027" s="139"/>
      <c r="BN1027" s="139"/>
      <c r="BO1027" s="139"/>
      <c r="BP1027" s="139"/>
      <c r="BQ1027" s="139"/>
      <c r="BR1027" s="139"/>
      <c r="BS1027" s="139"/>
      <c r="BT1027" s="139"/>
      <c r="BU1027" s="139"/>
      <c r="BV1027" s="139"/>
      <c r="BW1027" s="139"/>
      <c r="BX1027" s="139"/>
      <c r="BY1027" s="139"/>
      <c r="BZ1027" s="139"/>
      <c r="CA1027" s="139"/>
      <c r="CB1027" s="142">
        <f t="shared" si="4"/>
        <v>0</v>
      </c>
    </row>
    <row r="1028" spans="8:80" x14ac:dyDescent="0.15">
      <c r="H1028" s="140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1"/>
      <c r="AB1028" s="141"/>
      <c r="AC1028" s="141"/>
      <c r="AD1028" s="141"/>
      <c r="AE1028" s="141"/>
      <c r="AF1028" s="141"/>
      <c r="AG1028" s="141"/>
      <c r="AH1028" s="141"/>
      <c r="AI1028" s="141"/>
      <c r="AJ1028" s="141"/>
      <c r="AK1028" s="141"/>
      <c r="AL1028" s="141"/>
      <c r="AM1028" s="141"/>
      <c r="AN1028" s="141"/>
      <c r="AO1028" s="141"/>
      <c r="AP1028" s="141"/>
      <c r="AQ1028" s="141"/>
      <c r="AR1028" s="141"/>
      <c r="AS1028" s="141"/>
      <c r="AT1028" s="141"/>
      <c r="AU1028" s="141"/>
      <c r="AV1028" s="141"/>
      <c r="AW1028" s="141"/>
      <c r="AX1028" s="141"/>
      <c r="AY1028" s="141"/>
      <c r="AZ1028" s="141"/>
      <c r="BA1028" s="141"/>
      <c r="BB1028" s="141"/>
      <c r="BC1028" s="141"/>
      <c r="BD1028" s="141"/>
      <c r="BE1028" s="141"/>
      <c r="BF1028" s="140"/>
      <c r="BG1028" s="139"/>
      <c r="BH1028" s="139"/>
      <c r="BI1028" s="139"/>
      <c r="BJ1028" s="139"/>
      <c r="BK1028" s="139"/>
      <c r="BL1028" s="139"/>
      <c r="BM1028" s="139"/>
      <c r="BN1028" s="139"/>
      <c r="BO1028" s="139"/>
      <c r="BP1028" s="139"/>
      <c r="BQ1028" s="139"/>
      <c r="BR1028" s="139"/>
      <c r="BS1028" s="139"/>
      <c r="BT1028" s="139"/>
      <c r="BU1028" s="139"/>
      <c r="BV1028" s="139"/>
      <c r="BW1028" s="139"/>
      <c r="BX1028" s="139"/>
      <c r="BY1028" s="139"/>
      <c r="BZ1028" s="139"/>
      <c r="CA1028" s="139"/>
      <c r="CB1028" s="142">
        <f t="shared" si="4"/>
        <v>0</v>
      </c>
    </row>
    <row r="1029" spans="8:80" x14ac:dyDescent="0.15">
      <c r="H1029" s="140"/>
      <c r="I1029" s="140"/>
      <c r="J1029" s="140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1"/>
      <c r="AB1029" s="141"/>
      <c r="AC1029" s="141"/>
      <c r="AD1029" s="141"/>
      <c r="AE1029" s="141"/>
      <c r="AF1029" s="141"/>
      <c r="AG1029" s="141"/>
      <c r="AH1029" s="141"/>
      <c r="AI1029" s="141"/>
      <c r="AJ1029" s="141"/>
      <c r="AK1029" s="141"/>
      <c r="AL1029" s="141"/>
      <c r="AM1029" s="141"/>
      <c r="AN1029" s="141"/>
      <c r="AO1029" s="141"/>
      <c r="AP1029" s="141"/>
      <c r="AQ1029" s="141"/>
      <c r="AR1029" s="141"/>
      <c r="AS1029" s="141"/>
      <c r="AT1029" s="141"/>
      <c r="AU1029" s="141"/>
      <c r="AV1029" s="141"/>
      <c r="AW1029" s="141"/>
      <c r="AX1029" s="141"/>
      <c r="AY1029" s="141"/>
      <c r="AZ1029" s="141"/>
      <c r="BA1029" s="141"/>
      <c r="BB1029" s="141"/>
      <c r="BC1029" s="141"/>
      <c r="BD1029" s="141"/>
      <c r="BE1029" s="141"/>
      <c r="BF1029" s="140"/>
      <c r="BG1029" s="139"/>
      <c r="BH1029" s="139"/>
      <c r="BI1029" s="139"/>
      <c r="BJ1029" s="139"/>
      <c r="BK1029" s="139"/>
      <c r="BL1029" s="139"/>
      <c r="BM1029" s="139"/>
      <c r="BN1029" s="139"/>
      <c r="BO1029" s="139"/>
      <c r="BP1029" s="139"/>
      <c r="BQ1029" s="139"/>
      <c r="BR1029" s="139"/>
      <c r="BS1029" s="139"/>
      <c r="BT1029" s="139"/>
      <c r="BU1029" s="139"/>
      <c r="BV1029" s="139"/>
      <c r="BW1029" s="139"/>
      <c r="BX1029" s="139"/>
      <c r="BY1029" s="139"/>
      <c r="BZ1029" s="139"/>
      <c r="CA1029" s="139"/>
      <c r="CB1029" s="142">
        <f t="shared" si="4"/>
        <v>0</v>
      </c>
    </row>
    <row r="1100" spans="8:8" ht="21" x14ac:dyDescent="0.15">
      <c r="H1100" s="143" t="s">
        <v>186</v>
      </c>
    </row>
    <row r="1101" spans="8:8" ht="21" x14ac:dyDescent="0.15">
      <c r="H1101" s="143" t="s">
        <v>187</v>
      </c>
    </row>
    <row r="1102" spans="8:8" ht="21" x14ac:dyDescent="0.15">
      <c r="H1102" s="143" t="s">
        <v>188</v>
      </c>
    </row>
    <row r="1103" spans="8:8" ht="21" x14ac:dyDescent="0.15">
      <c r="H1103" s="143" t="s">
        <v>189</v>
      </c>
    </row>
    <row r="1104" spans="8:8" ht="21" x14ac:dyDescent="0.15">
      <c r="H1104" s="143" t="s">
        <v>190</v>
      </c>
    </row>
    <row r="1105" spans="8:8" ht="21" x14ac:dyDescent="0.15">
      <c r="H1105" s="143" t="s">
        <v>191</v>
      </c>
    </row>
    <row r="1106" spans="8:8" x14ac:dyDescent="0.15">
      <c r="H1106" s="144"/>
    </row>
    <row r="1107" spans="8:8" x14ac:dyDescent="0.15">
      <c r="H1107" s="144"/>
    </row>
    <row r="1108" spans="8:8" x14ac:dyDescent="0.15">
      <c r="H1108" s="14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9" r:id="rId4" name="CommandButton4">
          <controlPr defaultSize="0" print="0" autoLine="0" r:id="rId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1039" r:id="rId4" name="CommandButton4"/>
      </mc:Fallback>
    </mc:AlternateContent>
    <mc:AlternateContent xmlns:mc="http://schemas.openxmlformats.org/markup-compatibility/2006">
      <mc:Choice Requires="x14">
        <control shapeId="1038" r:id="rId6" name="CommandButton3">
          <controlPr defaultSize="0" print="0" autoLine="0" r:id="rId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1038" r:id="rId6" name="CommandButton3"/>
      </mc:Fallback>
    </mc:AlternateContent>
    <mc:AlternateContent xmlns:mc="http://schemas.openxmlformats.org/markup-compatibility/2006">
      <mc:Choice Requires="x14">
        <control shapeId="1037" r:id="rId8" name="CommandButton2">
          <controlPr defaultSize="0" print="0" autoLine="0" r:id="rId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1037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1">
          <controlPr defaultSize="0" print="0" autoLine="0" r:id="rId1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1036" r:id="rId10" name="CommandButton1"/>
      </mc:Fallback>
    </mc:AlternateContent>
    <mc:AlternateContent xmlns:mc="http://schemas.openxmlformats.org/markup-compatibility/2006">
      <mc:Choice Requires="x14">
        <control shapeId="1025" r:id="rId12" name="cmdHeadSet">
          <controlPr defaultSize="0" print="0" autoLine="0" r:id="rId13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1025" r:id="rId12" name="cmdHead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B1:CB1108"/>
  <sheetViews>
    <sheetView showGridLines="0" view="pageBreakPreview" zoomScale="75" zoomScaleNormal="55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 activeCell="B4" sqref="B4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78" x14ac:dyDescent="0.15">
      <c r="D1" s="12"/>
      <c r="E1" s="13"/>
      <c r="F1" s="13"/>
    </row>
    <row r="2" spans="2:78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78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78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78" ht="19.5" customHeight="1" thickBot="1" x14ac:dyDescent="0.2">
      <c r="C5" s="37" t="s">
        <v>0</v>
      </c>
      <c r="D5" s="38" t="str">
        <f>IF(原料情報２!$B1="","",原料情報２!$B1)</f>
        <v/>
      </c>
      <c r="E5" s="39"/>
      <c r="F5" s="39"/>
      <c r="G5" s="40" t="s">
        <v>192</v>
      </c>
      <c r="H5" s="39" t="str">
        <f>IF(原料情報２!$B2="","",原料情報２!$B2)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78" ht="17.25" customHeight="1" thickBot="1" x14ac:dyDescent="0.25">
      <c r="C6" s="44"/>
      <c r="D6" s="45"/>
      <c r="E6" s="45"/>
      <c r="F6" s="216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78" ht="38.25" customHeight="1" thickBot="1" x14ac:dyDescent="0.2">
      <c r="B7" s="52" t="s">
        <v>132</v>
      </c>
      <c r="C7" s="53" t="s">
        <v>133</v>
      </c>
      <c r="D7" s="150" t="s">
        <v>134</v>
      </c>
      <c r="E7" s="217" t="s">
        <v>135</v>
      </c>
      <c r="F7" s="54" t="s">
        <v>243</v>
      </c>
      <c r="G7" s="55" t="s">
        <v>136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137</v>
      </c>
      <c r="BG7" s="59"/>
      <c r="BH7" s="60" t="s">
        <v>193</v>
      </c>
      <c r="BI7" s="13"/>
    </row>
    <row r="8" spans="2:78" ht="21.95" customHeight="1" x14ac:dyDescent="0.15">
      <c r="B8" s="61"/>
      <c r="C8" s="62"/>
      <c r="D8" s="64"/>
      <c r="E8" s="63"/>
      <c r="F8" s="64"/>
      <c r="G8" s="65"/>
      <c r="H8" s="200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201"/>
      <c r="BG8" s="146" t="s">
        <v>138</v>
      </c>
      <c r="BH8" s="147" t="str">
        <f>IF(H7="","",H7)</f>
        <v/>
      </c>
      <c r="BI8" s="148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49"/>
    </row>
    <row r="9" spans="2:78" ht="21.95" customHeight="1" x14ac:dyDescent="0.15">
      <c r="B9" s="69"/>
      <c r="C9" s="70"/>
      <c r="D9" s="72"/>
      <c r="E9" s="71"/>
      <c r="F9" s="72"/>
      <c r="G9" s="73"/>
      <c r="H9" s="202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3"/>
      <c r="BG9" s="75" t="s">
        <v>139</v>
      </c>
      <c r="BH9" s="76" t="str">
        <f>IF(I7="","",I7)</f>
        <v/>
      </c>
      <c r="BI9" s="13"/>
    </row>
    <row r="10" spans="2:78" ht="21.95" customHeight="1" x14ac:dyDescent="0.15">
      <c r="B10" s="77"/>
      <c r="C10" s="70"/>
      <c r="D10" s="72"/>
      <c r="E10" s="71"/>
      <c r="F10" s="72"/>
      <c r="G10" s="73"/>
      <c r="H10" s="202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3"/>
      <c r="BG10" s="75" t="s">
        <v>140</v>
      </c>
      <c r="BH10" s="76" t="str">
        <f>IF(J7="","",J7)</f>
        <v/>
      </c>
      <c r="BI10" s="13"/>
    </row>
    <row r="11" spans="2:78" ht="21.95" customHeight="1" x14ac:dyDescent="0.15">
      <c r="B11" s="77"/>
      <c r="C11" s="70"/>
      <c r="D11" s="72"/>
      <c r="E11" s="71"/>
      <c r="F11" s="72"/>
      <c r="G11" s="73"/>
      <c r="H11" s="202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3"/>
      <c r="BG11" s="75" t="s">
        <v>141</v>
      </c>
      <c r="BH11" s="76" t="str">
        <f>IF(K7="","",K7)</f>
        <v/>
      </c>
      <c r="BI11" s="13"/>
    </row>
    <row r="12" spans="2:78" ht="21.95" customHeight="1" x14ac:dyDescent="0.15">
      <c r="B12" s="77"/>
      <c r="C12" s="70"/>
      <c r="D12" s="72"/>
      <c r="E12" s="71"/>
      <c r="F12" s="72"/>
      <c r="G12" s="73"/>
      <c r="H12" s="202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3"/>
      <c r="BG12" s="75" t="s">
        <v>142</v>
      </c>
      <c r="BH12" s="76" t="str">
        <f>IF(L7="","",L7)</f>
        <v/>
      </c>
      <c r="BI12" s="13"/>
    </row>
    <row r="13" spans="2:78" ht="21.95" customHeight="1" x14ac:dyDescent="0.15">
      <c r="B13" s="77"/>
      <c r="C13" s="70"/>
      <c r="D13" s="72"/>
      <c r="E13" s="71"/>
      <c r="F13" s="72"/>
      <c r="G13" s="73"/>
      <c r="H13" s="202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5"/>
      <c r="BG13" s="75" t="s">
        <v>143</v>
      </c>
      <c r="BH13" s="76" t="str">
        <f>IF(M7="","",M7)</f>
        <v/>
      </c>
      <c r="BI13" s="13"/>
    </row>
    <row r="14" spans="2:78" ht="21.95" customHeight="1" x14ac:dyDescent="0.15">
      <c r="B14" s="77"/>
      <c r="C14" s="70"/>
      <c r="D14" s="72"/>
      <c r="E14" s="71"/>
      <c r="F14" s="72"/>
      <c r="G14" s="73"/>
      <c r="H14" s="202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3"/>
      <c r="BG14" s="75" t="s">
        <v>144</v>
      </c>
      <c r="BH14" s="76" t="str">
        <f>IF(N7="","",N7)</f>
        <v/>
      </c>
      <c r="BI14" s="13"/>
    </row>
    <row r="15" spans="2:78" ht="21.95" customHeight="1" x14ac:dyDescent="0.15">
      <c r="B15" s="77"/>
      <c r="C15" s="70"/>
      <c r="D15" s="72"/>
      <c r="E15" s="71"/>
      <c r="F15" s="72"/>
      <c r="G15" s="73"/>
      <c r="H15" s="202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3"/>
      <c r="BG15" s="75" t="s">
        <v>145</v>
      </c>
      <c r="BH15" s="76" t="str">
        <f>IF(O7="","",O7)</f>
        <v/>
      </c>
      <c r="BI15" s="13"/>
    </row>
    <row r="16" spans="2:78" ht="21.95" customHeight="1" x14ac:dyDescent="0.15">
      <c r="B16" s="77"/>
      <c r="C16" s="70"/>
      <c r="D16" s="72"/>
      <c r="E16" s="71"/>
      <c r="F16" s="72"/>
      <c r="G16" s="73"/>
      <c r="H16" s="202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3"/>
      <c r="BG16" s="75" t="s">
        <v>146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1"/>
      <c r="F17" s="72"/>
      <c r="G17" s="73"/>
      <c r="H17" s="202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3"/>
      <c r="BG17" s="75" t="s">
        <v>147</v>
      </c>
      <c r="BH17" s="76" t="str">
        <f>IF(Q7="","",Q7)</f>
        <v/>
      </c>
      <c r="BI17" s="13"/>
    </row>
    <row r="18" spans="2:61" ht="21.95" customHeight="1" x14ac:dyDescent="0.15">
      <c r="B18" s="77"/>
      <c r="C18" s="81"/>
      <c r="D18" s="83"/>
      <c r="E18" s="82"/>
      <c r="F18" s="83"/>
      <c r="G18" s="73"/>
      <c r="H18" s="202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3"/>
      <c r="BG18" s="75" t="s">
        <v>148</v>
      </c>
      <c r="BH18" s="76" t="str">
        <f>IF(R7="","",R7)</f>
        <v/>
      </c>
      <c r="BI18" s="13"/>
    </row>
    <row r="19" spans="2:61" ht="21.95" customHeight="1" x14ac:dyDescent="0.15">
      <c r="B19" s="78"/>
      <c r="C19" s="220"/>
      <c r="D19" s="221"/>
      <c r="E19" s="86"/>
      <c r="F19" s="221"/>
      <c r="G19" s="79"/>
      <c r="H19" s="204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203"/>
      <c r="BG19" s="75" t="s">
        <v>149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1"/>
      <c r="F20" s="72"/>
      <c r="G20" s="73"/>
      <c r="H20" s="202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3"/>
      <c r="BG20" s="75" t="s">
        <v>150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1"/>
      <c r="F21" s="72"/>
      <c r="G21" s="73"/>
      <c r="H21" s="202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3"/>
      <c r="BG21" s="75" t="s">
        <v>151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1"/>
      <c r="F22" s="72"/>
      <c r="G22" s="73"/>
      <c r="H22" s="202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3"/>
      <c r="BG22" s="75" t="s">
        <v>152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1"/>
      <c r="F23" s="72"/>
      <c r="G23" s="73"/>
      <c r="H23" s="202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3"/>
      <c r="BG23" s="75" t="s">
        <v>153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1"/>
      <c r="F24" s="72"/>
      <c r="G24" s="73"/>
      <c r="H24" s="202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3"/>
      <c r="BG24" s="75" t="s">
        <v>154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1"/>
      <c r="F25" s="72"/>
      <c r="G25" s="73"/>
      <c r="H25" s="202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3"/>
      <c r="BG25" s="75" t="s">
        <v>155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1"/>
      <c r="F26" s="72"/>
      <c r="G26" s="73"/>
      <c r="H26" s="202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3"/>
      <c r="BG26" s="75" t="s">
        <v>156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1"/>
      <c r="F27" s="72"/>
      <c r="G27" s="73"/>
      <c r="H27" s="202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3"/>
      <c r="BG27" s="75" t="s">
        <v>157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1"/>
      <c r="F28" s="72"/>
      <c r="G28" s="73"/>
      <c r="H28" s="202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3"/>
      <c r="BG28" s="75" t="s">
        <v>158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1"/>
      <c r="F29" s="72"/>
      <c r="G29" s="73"/>
      <c r="H29" s="202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3"/>
      <c r="BG29" s="75" t="s">
        <v>159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1"/>
      <c r="F30" s="72"/>
      <c r="G30" s="73"/>
      <c r="H30" s="202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3"/>
      <c r="BG30" s="75" t="s">
        <v>160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1"/>
      <c r="F31" s="72"/>
      <c r="G31" s="73"/>
      <c r="H31" s="202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3"/>
      <c r="BG31" s="75" t="s">
        <v>161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1"/>
      <c r="F32" s="72"/>
      <c r="G32" s="73"/>
      <c r="H32" s="202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3"/>
      <c r="BG32" s="75" t="s">
        <v>162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1"/>
      <c r="F33" s="72"/>
      <c r="G33" s="73"/>
      <c r="H33" s="202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3"/>
      <c r="BG33" s="75" t="s">
        <v>163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1"/>
      <c r="F34" s="72"/>
      <c r="G34" s="73"/>
      <c r="H34" s="202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3"/>
      <c r="BG34" s="75" t="s">
        <v>164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1"/>
      <c r="F35" s="72"/>
      <c r="G35" s="73"/>
      <c r="H35" s="202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3"/>
      <c r="BG35" s="75" t="s">
        <v>165</v>
      </c>
      <c r="BH35" s="76" t="str">
        <f>IF(AI7="","",AI7)</f>
        <v/>
      </c>
      <c r="BI35" s="13"/>
    </row>
    <row r="36" spans="2:61" ht="21.75" customHeight="1" x14ac:dyDescent="0.15">
      <c r="B36" s="77"/>
      <c r="C36" s="70"/>
      <c r="D36" s="72"/>
      <c r="E36" s="71"/>
      <c r="F36" s="72"/>
      <c r="G36" s="73"/>
      <c r="H36" s="202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3"/>
      <c r="BG36" s="75" t="s">
        <v>166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1"/>
      <c r="F37" s="72"/>
      <c r="G37" s="73"/>
      <c r="H37" s="202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3"/>
      <c r="BG37" s="75" t="s">
        <v>167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1"/>
      <c r="F38" s="72"/>
      <c r="G38" s="73"/>
      <c r="H38" s="202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3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1"/>
      <c r="F39" s="72"/>
      <c r="G39" s="73"/>
      <c r="H39" s="202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3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1"/>
      <c r="F40" s="72"/>
      <c r="G40" s="73"/>
      <c r="H40" s="202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3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1"/>
      <c r="F41" s="72"/>
      <c r="G41" s="73"/>
      <c r="H41" s="202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3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1"/>
      <c r="F42" s="72"/>
      <c r="G42" s="73"/>
      <c r="H42" s="202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3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1"/>
      <c r="F43" s="72"/>
      <c r="G43" s="73"/>
      <c r="H43" s="202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3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1"/>
      <c r="F44" s="72"/>
      <c r="G44" s="73"/>
      <c r="H44" s="202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3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1"/>
      <c r="F45" s="72"/>
      <c r="G45" s="73"/>
      <c r="H45" s="202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3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1"/>
      <c r="F46" s="72"/>
      <c r="G46" s="73"/>
      <c r="H46" s="202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3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1"/>
      <c r="F47" s="72"/>
      <c r="G47" s="73"/>
      <c r="H47" s="202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3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1"/>
      <c r="F48" s="72"/>
      <c r="G48" s="73"/>
      <c r="H48" s="202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3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1"/>
      <c r="F49" s="72"/>
      <c r="G49" s="73"/>
      <c r="H49" s="202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3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1"/>
      <c r="F50" s="72"/>
      <c r="G50" s="73"/>
      <c r="H50" s="202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3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1"/>
      <c r="F51" s="72"/>
      <c r="G51" s="73"/>
      <c r="H51" s="202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3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1"/>
      <c r="F52" s="72"/>
      <c r="G52" s="73"/>
      <c r="H52" s="202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3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1"/>
      <c r="F53" s="72"/>
      <c r="G53" s="73"/>
      <c r="H53" s="202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3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1"/>
      <c r="F54" s="72"/>
      <c r="G54" s="73"/>
      <c r="H54" s="202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3"/>
      <c r="BG54" s="75"/>
      <c r="BH54" s="76" t="s">
        <v>168</v>
      </c>
      <c r="BI54" s="13"/>
    </row>
    <row r="55" spans="2:64" ht="21.95" hidden="1" customHeight="1" x14ac:dyDescent="0.15">
      <c r="B55" s="77"/>
      <c r="C55" s="70"/>
      <c r="D55" s="72"/>
      <c r="E55" s="71"/>
      <c r="F55" s="72"/>
      <c r="G55" s="73"/>
      <c r="H55" s="202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3"/>
      <c r="BG55" s="75" t="s">
        <v>138</v>
      </c>
      <c r="BH55" s="76"/>
      <c r="BI55" s="13"/>
    </row>
    <row r="56" spans="2:64" ht="21.95" hidden="1" customHeight="1" x14ac:dyDescent="0.15">
      <c r="B56" s="77"/>
      <c r="C56" s="70"/>
      <c r="D56" s="72"/>
      <c r="E56" s="71"/>
      <c r="F56" s="72"/>
      <c r="G56" s="73"/>
      <c r="H56" s="202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3"/>
      <c r="BG56" s="75" t="s">
        <v>139</v>
      </c>
      <c r="BH56" s="76"/>
      <c r="BI56" s="13"/>
    </row>
    <row r="57" spans="2:64" ht="21.95" hidden="1" customHeight="1" x14ac:dyDescent="0.15">
      <c r="B57" s="77"/>
      <c r="C57" s="70"/>
      <c r="D57" s="72"/>
      <c r="E57" s="71"/>
      <c r="F57" s="72"/>
      <c r="G57" s="73"/>
      <c r="H57" s="202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3"/>
      <c r="BG57" s="75" t="s">
        <v>140</v>
      </c>
      <c r="BH57" s="76"/>
      <c r="BI57" s="13"/>
    </row>
    <row r="58" spans="2:64" ht="21.95" customHeight="1" thickBot="1" x14ac:dyDescent="0.2">
      <c r="B58" s="87"/>
      <c r="C58" s="88"/>
      <c r="D58" s="157"/>
      <c r="E58" s="218"/>
      <c r="F58" s="157"/>
      <c r="G58" s="73"/>
      <c r="H58" s="206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  <c r="BD58" s="207"/>
      <c r="BE58" s="207"/>
      <c r="BF58" s="208"/>
      <c r="BG58" s="75" t="s">
        <v>141</v>
      </c>
      <c r="BH58" s="76"/>
      <c r="BI58" s="13"/>
    </row>
    <row r="59" spans="2:64" ht="21.95" customHeight="1" x14ac:dyDescent="0.15">
      <c r="B59" s="91"/>
      <c r="C59" s="92"/>
      <c r="D59" s="93"/>
      <c r="E59" s="94" t="s">
        <v>169</v>
      </c>
      <c r="F59" s="94"/>
      <c r="G59" s="95">
        <f>SUM(G8:G58)</f>
        <v>0</v>
      </c>
      <c r="H59" s="96" t="str">
        <f t="shared" ref="H59:AM59" si="0">IF(H7="","",SUM(H8:H58))</f>
        <v/>
      </c>
      <c r="I59" s="97" t="str">
        <f t="shared" si="0"/>
        <v/>
      </c>
      <c r="J59" s="97" t="str">
        <f t="shared" si="0"/>
        <v/>
      </c>
      <c r="K59" s="97" t="str">
        <f t="shared" si="0"/>
        <v/>
      </c>
      <c r="L59" s="97" t="str">
        <f t="shared" si="0"/>
        <v/>
      </c>
      <c r="M59" s="97" t="str">
        <f t="shared" si="0"/>
        <v/>
      </c>
      <c r="N59" s="97" t="str">
        <f t="shared" si="0"/>
        <v/>
      </c>
      <c r="O59" s="97" t="str">
        <f t="shared" si="0"/>
        <v/>
      </c>
      <c r="P59" s="97" t="str">
        <f t="shared" si="0"/>
        <v/>
      </c>
      <c r="Q59" s="97" t="str">
        <f t="shared" si="0"/>
        <v/>
      </c>
      <c r="R59" s="97" t="str">
        <f t="shared" si="0"/>
        <v/>
      </c>
      <c r="S59" s="97" t="str">
        <f t="shared" si="0"/>
        <v/>
      </c>
      <c r="T59" s="97" t="str">
        <f t="shared" si="0"/>
        <v/>
      </c>
      <c r="U59" s="97" t="str">
        <f t="shared" si="0"/>
        <v/>
      </c>
      <c r="V59" s="97" t="str">
        <f t="shared" si="0"/>
        <v/>
      </c>
      <c r="W59" s="97" t="str">
        <f t="shared" si="0"/>
        <v/>
      </c>
      <c r="X59" s="97" t="str">
        <f t="shared" si="0"/>
        <v/>
      </c>
      <c r="Y59" s="97" t="str">
        <f t="shared" si="0"/>
        <v/>
      </c>
      <c r="Z59" s="97" t="str">
        <f t="shared" si="0"/>
        <v/>
      </c>
      <c r="AA59" s="97" t="str">
        <f t="shared" si="0"/>
        <v/>
      </c>
      <c r="AB59" s="97" t="str">
        <f t="shared" si="0"/>
        <v/>
      </c>
      <c r="AC59" s="97" t="str">
        <f t="shared" si="0"/>
        <v/>
      </c>
      <c r="AD59" s="97" t="str">
        <f t="shared" si="0"/>
        <v/>
      </c>
      <c r="AE59" s="97" t="str">
        <f t="shared" si="0"/>
        <v/>
      </c>
      <c r="AF59" s="97" t="str">
        <f t="shared" si="0"/>
        <v/>
      </c>
      <c r="AG59" s="97" t="str">
        <f t="shared" si="0"/>
        <v/>
      </c>
      <c r="AH59" s="97" t="str">
        <f t="shared" si="0"/>
        <v/>
      </c>
      <c r="AI59" s="97" t="str">
        <f t="shared" si="0"/>
        <v/>
      </c>
      <c r="AJ59" s="97" t="str">
        <f t="shared" si="0"/>
        <v/>
      </c>
      <c r="AK59" s="97" t="str">
        <f t="shared" si="0"/>
        <v/>
      </c>
      <c r="AL59" s="97" t="str">
        <f t="shared" si="0"/>
        <v/>
      </c>
      <c r="AM59" s="97" t="str">
        <f t="shared" si="0"/>
        <v/>
      </c>
      <c r="AN59" s="97" t="str">
        <f t="shared" ref="AN59:BF59" si="1">IF(AN7="","",SUM(AN8:AN58))</f>
        <v/>
      </c>
      <c r="AO59" s="97" t="str">
        <f t="shared" si="1"/>
        <v/>
      </c>
      <c r="AP59" s="97" t="str">
        <f t="shared" si="1"/>
        <v/>
      </c>
      <c r="AQ59" s="97" t="str">
        <f t="shared" si="1"/>
        <v/>
      </c>
      <c r="AR59" s="97" t="str">
        <f t="shared" si="1"/>
        <v/>
      </c>
      <c r="AS59" s="97" t="str">
        <f t="shared" si="1"/>
        <v/>
      </c>
      <c r="AT59" s="97" t="str">
        <f t="shared" si="1"/>
        <v/>
      </c>
      <c r="AU59" s="97" t="str">
        <f t="shared" si="1"/>
        <v/>
      </c>
      <c r="AV59" s="97" t="str">
        <f t="shared" si="1"/>
        <v/>
      </c>
      <c r="AW59" s="97" t="str">
        <f t="shared" si="1"/>
        <v/>
      </c>
      <c r="AX59" s="97" t="str">
        <f t="shared" si="1"/>
        <v/>
      </c>
      <c r="AY59" s="97" t="str">
        <f t="shared" si="1"/>
        <v/>
      </c>
      <c r="AZ59" s="97" t="str">
        <f t="shared" si="1"/>
        <v/>
      </c>
      <c r="BA59" s="97" t="str">
        <f t="shared" si="1"/>
        <v/>
      </c>
      <c r="BB59" s="97" t="str">
        <f t="shared" si="1"/>
        <v/>
      </c>
      <c r="BC59" s="97" t="str">
        <f t="shared" si="1"/>
        <v/>
      </c>
      <c r="BD59" s="97" t="str">
        <f t="shared" si="1"/>
        <v/>
      </c>
      <c r="BE59" s="97" t="str">
        <f t="shared" si="1"/>
        <v/>
      </c>
      <c r="BF59" s="97">
        <f t="shared" si="1"/>
        <v>0</v>
      </c>
      <c r="BG59" s="75" t="s">
        <v>142</v>
      </c>
      <c r="BH59" s="76"/>
      <c r="BI59" s="13"/>
    </row>
    <row r="60" spans="2:64" ht="21.95" customHeight="1" x14ac:dyDescent="0.15">
      <c r="B60" s="98"/>
      <c r="C60" s="29"/>
      <c r="D60" s="99"/>
      <c r="E60" s="100" t="s">
        <v>170</v>
      </c>
      <c r="F60" s="212"/>
      <c r="G60" s="101" t="e">
        <f>SUM(H60:BF60)</f>
        <v>#DIV/0!</v>
      </c>
      <c r="H60" s="102">
        <f t="shared" ref="H60:AM60" si="2">IF(H7="",0,H59/$G$59)</f>
        <v>0</v>
      </c>
      <c r="I60" s="102">
        <f t="shared" si="2"/>
        <v>0</v>
      </c>
      <c r="J60" s="102">
        <f t="shared" si="2"/>
        <v>0</v>
      </c>
      <c r="K60" s="102">
        <f t="shared" si="2"/>
        <v>0</v>
      </c>
      <c r="L60" s="102">
        <f t="shared" si="2"/>
        <v>0</v>
      </c>
      <c r="M60" s="102">
        <f t="shared" si="2"/>
        <v>0</v>
      </c>
      <c r="N60" s="102">
        <f t="shared" si="2"/>
        <v>0</v>
      </c>
      <c r="O60" s="102">
        <f t="shared" si="2"/>
        <v>0</v>
      </c>
      <c r="P60" s="102">
        <f t="shared" si="2"/>
        <v>0</v>
      </c>
      <c r="Q60" s="102">
        <f t="shared" si="2"/>
        <v>0</v>
      </c>
      <c r="R60" s="102">
        <f t="shared" si="2"/>
        <v>0</v>
      </c>
      <c r="S60" s="102">
        <f t="shared" si="2"/>
        <v>0</v>
      </c>
      <c r="T60" s="102">
        <f t="shared" si="2"/>
        <v>0</v>
      </c>
      <c r="U60" s="102">
        <f t="shared" si="2"/>
        <v>0</v>
      </c>
      <c r="V60" s="102">
        <f t="shared" si="2"/>
        <v>0</v>
      </c>
      <c r="W60" s="102">
        <f t="shared" si="2"/>
        <v>0</v>
      </c>
      <c r="X60" s="102">
        <f t="shared" si="2"/>
        <v>0</v>
      </c>
      <c r="Y60" s="102">
        <f t="shared" si="2"/>
        <v>0</v>
      </c>
      <c r="Z60" s="102">
        <f t="shared" si="2"/>
        <v>0</v>
      </c>
      <c r="AA60" s="102">
        <f t="shared" si="2"/>
        <v>0</v>
      </c>
      <c r="AB60" s="102">
        <f t="shared" si="2"/>
        <v>0</v>
      </c>
      <c r="AC60" s="102">
        <f t="shared" si="2"/>
        <v>0</v>
      </c>
      <c r="AD60" s="102">
        <f t="shared" si="2"/>
        <v>0</v>
      </c>
      <c r="AE60" s="102">
        <f t="shared" si="2"/>
        <v>0</v>
      </c>
      <c r="AF60" s="102">
        <f t="shared" si="2"/>
        <v>0</v>
      </c>
      <c r="AG60" s="102">
        <f t="shared" si="2"/>
        <v>0</v>
      </c>
      <c r="AH60" s="102">
        <f t="shared" si="2"/>
        <v>0</v>
      </c>
      <c r="AI60" s="102">
        <f t="shared" si="2"/>
        <v>0</v>
      </c>
      <c r="AJ60" s="102">
        <f t="shared" si="2"/>
        <v>0</v>
      </c>
      <c r="AK60" s="102">
        <f t="shared" si="2"/>
        <v>0</v>
      </c>
      <c r="AL60" s="102">
        <f t="shared" si="2"/>
        <v>0</v>
      </c>
      <c r="AM60" s="102">
        <f t="shared" si="2"/>
        <v>0</v>
      </c>
      <c r="AN60" s="102">
        <f t="shared" ref="AN60:BF60" si="3">IF(AN7="",0,AN59/$G$59)</f>
        <v>0</v>
      </c>
      <c r="AO60" s="102">
        <f t="shared" si="3"/>
        <v>0</v>
      </c>
      <c r="AP60" s="102">
        <f t="shared" si="3"/>
        <v>0</v>
      </c>
      <c r="AQ60" s="102">
        <f t="shared" si="3"/>
        <v>0</v>
      </c>
      <c r="AR60" s="102">
        <f t="shared" si="3"/>
        <v>0</v>
      </c>
      <c r="AS60" s="102">
        <f t="shared" si="3"/>
        <v>0</v>
      </c>
      <c r="AT60" s="102">
        <f t="shared" si="3"/>
        <v>0</v>
      </c>
      <c r="AU60" s="102">
        <f t="shared" si="3"/>
        <v>0</v>
      </c>
      <c r="AV60" s="102">
        <f t="shared" si="3"/>
        <v>0</v>
      </c>
      <c r="AW60" s="102">
        <f t="shared" si="3"/>
        <v>0</v>
      </c>
      <c r="AX60" s="102">
        <f t="shared" si="3"/>
        <v>0</v>
      </c>
      <c r="AY60" s="102">
        <f t="shared" si="3"/>
        <v>0</v>
      </c>
      <c r="AZ60" s="102">
        <f t="shared" si="3"/>
        <v>0</v>
      </c>
      <c r="BA60" s="102">
        <f t="shared" si="3"/>
        <v>0</v>
      </c>
      <c r="BB60" s="102">
        <f t="shared" si="3"/>
        <v>0</v>
      </c>
      <c r="BC60" s="102">
        <f t="shared" si="3"/>
        <v>0</v>
      </c>
      <c r="BD60" s="102">
        <f t="shared" si="3"/>
        <v>0</v>
      </c>
      <c r="BE60" s="102">
        <f t="shared" si="3"/>
        <v>0</v>
      </c>
      <c r="BF60" s="102" t="e">
        <f t="shared" si="3"/>
        <v>#DIV/0!</v>
      </c>
      <c r="BG60" s="75" t="s">
        <v>143</v>
      </c>
      <c r="BH60" s="76"/>
      <c r="BI60" s="13"/>
    </row>
    <row r="61" spans="2:64" ht="21.95" customHeight="1" thickBot="1" x14ac:dyDescent="0.2">
      <c r="B61" s="103"/>
      <c r="C61" s="35"/>
      <c r="D61" s="104"/>
      <c r="E61" s="35" t="s">
        <v>171</v>
      </c>
      <c r="F61" s="35"/>
      <c r="G61" s="105"/>
      <c r="H61" s="106">
        <v>1</v>
      </c>
      <c r="I61" s="107">
        <v>2</v>
      </c>
      <c r="J61" s="107">
        <v>3</v>
      </c>
      <c r="K61" s="107">
        <v>4</v>
      </c>
      <c r="L61" s="108">
        <v>5</v>
      </c>
      <c r="M61" s="108">
        <v>6</v>
      </c>
      <c r="N61" s="108">
        <v>7</v>
      </c>
      <c r="O61" s="108">
        <v>8</v>
      </c>
      <c r="P61" s="108">
        <v>9</v>
      </c>
      <c r="Q61" s="108">
        <v>10</v>
      </c>
      <c r="R61" s="108">
        <v>11</v>
      </c>
      <c r="S61" s="108">
        <v>12</v>
      </c>
      <c r="T61" s="108">
        <v>13</v>
      </c>
      <c r="U61" s="108">
        <v>14</v>
      </c>
      <c r="V61" s="108">
        <v>15</v>
      </c>
      <c r="W61" s="108">
        <v>16</v>
      </c>
      <c r="X61" s="108">
        <v>17</v>
      </c>
      <c r="Y61" s="108">
        <v>18</v>
      </c>
      <c r="Z61" s="108">
        <v>19</v>
      </c>
      <c r="AA61" s="108">
        <v>20</v>
      </c>
      <c r="AB61" s="108">
        <v>21</v>
      </c>
      <c r="AC61" s="108">
        <v>22</v>
      </c>
      <c r="AD61" s="108">
        <v>23</v>
      </c>
      <c r="AE61" s="108">
        <v>24</v>
      </c>
      <c r="AF61" s="108">
        <v>25</v>
      </c>
      <c r="AG61" s="108">
        <v>26</v>
      </c>
      <c r="AH61" s="108">
        <v>27</v>
      </c>
      <c r="AI61" s="108">
        <v>28</v>
      </c>
      <c r="AJ61" s="108">
        <v>29</v>
      </c>
      <c r="AK61" s="108">
        <v>30</v>
      </c>
      <c r="AL61" s="108">
        <v>31</v>
      </c>
      <c r="AM61" s="108">
        <v>32</v>
      </c>
      <c r="AN61" s="108">
        <v>33</v>
      </c>
      <c r="AO61" s="108">
        <v>34</v>
      </c>
      <c r="AP61" s="108">
        <v>35</v>
      </c>
      <c r="AQ61" s="108">
        <v>36</v>
      </c>
      <c r="AR61" s="108">
        <v>37</v>
      </c>
      <c r="AS61" s="108">
        <v>38</v>
      </c>
      <c r="AT61" s="108">
        <v>39</v>
      </c>
      <c r="AU61" s="108">
        <v>40</v>
      </c>
      <c r="AV61" s="108">
        <v>41</v>
      </c>
      <c r="AW61" s="108">
        <v>42</v>
      </c>
      <c r="AX61" s="108">
        <v>43</v>
      </c>
      <c r="AY61" s="108">
        <v>44</v>
      </c>
      <c r="AZ61" s="108">
        <v>45</v>
      </c>
      <c r="BA61" s="108">
        <v>46</v>
      </c>
      <c r="BB61" s="108">
        <v>47</v>
      </c>
      <c r="BC61" s="108">
        <v>48</v>
      </c>
      <c r="BD61" s="108">
        <v>49</v>
      </c>
      <c r="BE61" s="108">
        <v>50</v>
      </c>
      <c r="BF61" s="108">
        <v>51</v>
      </c>
      <c r="BG61" s="109"/>
      <c r="BH61" s="110"/>
      <c r="BI61" s="13"/>
      <c r="BJ61" s="13"/>
      <c r="BK61" s="13"/>
      <c r="BL61" s="13"/>
    </row>
    <row r="62" spans="2:64" ht="14.25" thickBot="1" x14ac:dyDescent="0.2">
      <c r="D62" s="111"/>
      <c r="E62" s="112"/>
      <c r="F62" s="111"/>
      <c r="BH62" s="13"/>
      <c r="BI62" s="13"/>
    </row>
    <row r="63" spans="2:64" ht="20.100000000000001" customHeight="1" x14ac:dyDescent="0.15">
      <c r="D63" s="20"/>
      <c r="E63" s="91" t="s">
        <v>172</v>
      </c>
      <c r="F63" s="113"/>
      <c r="G63" s="113"/>
      <c r="H63" s="91" t="s">
        <v>173</v>
      </c>
      <c r="I63" s="113"/>
      <c r="J63" s="113"/>
      <c r="K63" s="113"/>
      <c r="L63" s="113"/>
      <c r="M63" s="114"/>
      <c r="N63" s="115"/>
      <c r="O63" s="29"/>
      <c r="R63" s="116" t="s">
        <v>194</v>
      </c>
      <c r="S63" s="226">
        <f ca="1">TODAY()</f>
        <v>45106</v>
      </c>
      <c r="T63" s="226"/>
      <c r="U63" s="117"/>
      <c r="V63" s="117"/>
      <c r="W63" s="117"/>
      <c r="X63" s="117"/>
      <c r="Y63" s="117"/>
      <c r="Z63" s="117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H63" s="13"/>
      <c r="BI63" s="13"/>
    </row>
    <row r="64" spans="2:64" ht="20.100000000000001" customHeight="1" thickBot="1" x14ac:dyDescent="0.25">
      <c r="C64" s="119"/>
      <c r="E64" s="120"/>
      <c r="F64" s="127"/>
      <c r="G64" s="121"/>
      <c r="H64" s="122"/>
      <c r="I64" s="121"/>
      <c r="J64" s="35"/>
      <c r="K64" s="123"/>
      <c r="L64" s="123"/>
      <c r="M64" s="124"/>
      <c r="N64" s="115"/>
      <c r="O64" s="29"/>
      <c r="R64" s="29" t="s">
        <v>195</v>
      </c>
      <c r="S64" s="29"/>
      <c r="T64" s="125"/>
      <c r="U64" s="126"/>
      <c r="V64" s="127"/>
      <c r="W64" s="127" t="s">
        <v>174</v>
      </c>
      <c r="X64" s="128"/>
      <c r="Y64" s="128"/>
      <c r="Z64" s="128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I64" s="13"/>
    </row>
    <row r="65" spans="3:61" ht="20.100000000000001" customHeight="1" thickBot="1" x14ac:dyDescent="0.2">
      <c r="C65" s="130"/>
      <c r="E65" s="122" t="s">
        <v>175</v>
      </c>
      <c r="F65" s="35"/>
      <c r="G65" s="121"/>
      <c r="H65" s="122" t="s">
        <v>176</v>
      </c>
      <c r="I65" s="121"/>
      <c r="J65" s="35"/>
      <c r="K65" s="131" t="s">
        <v>177</v>
      </c>
      <c r="L65" s="121"/>
      <c r="M65" s="132"/>
      <c r="N65" s="98"/>
      <c r="O65" s="19"/>
      <c r="R65" s="117"/>
      <c r="S65" s="117"/>
      <c r="T65" s="117"/>
      <c r="U65" s="117"/>
      <c r="V65" s="117"/>
      <c r="W65" s="117"/>
      <c r="X65" s="117"/>
      <c r="Y65" s="117"/>
      <c r="Z65" s="117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I65" s="13"/>
    </row>
    <row r="66" spans="3:61" ht="15" thickBot="1" x14ac:dyDescent="0.2">
      <c r="E66" s="133" t="s">
        <v>185</v>
      </c>
      <c r="F66" s="213"/>
      <c r="G66" s="134"/>
      <c r="H66" s="135"/>
      <c r="I66" s="136"/>
      <c r="J66" s="136"/>
      <c r="K66" s="136"/>
      <c r="L66" s="136"/>
      <c r="M66" s="134"/>
      <c r="BI66" s="13"/>
    </row>
    <row r="67" spans="3:61" ht="15" thickBot="1" x14ac:dyDescent="0.2">
      <c r="E67" s="137" t="s">
        <v>178</v>
      </c>
      <c r="F67" s="214"/>
      <c r="G67" s="134"/>
      <c r="H67" s="135"/>
      <c r="I67" s="136"/>
      <c r="J67" s="136"/>
      <c r="K67" s="136"/>
      <c r="L67" s="136"/>
      <c r="M67" s="134"/>
      <c r="BI67" s="13"/>
    </row>
    <row r="68" spans="3:61" ht="15" thickBot="1" x14ac:dyDescent="0.2">
      <c r="E68" s="138" t="s">
        <v>2</v>
      </c>
      <c r="F68" s="215"/>
      <c r="G68" s="134"/>
      <c r="H68" s="135"/>
      <c r="I68" s="136"/>
      <c r="J68" s="136"/>
      <c r="K68" s="136"/>
      <c r="L68" s="136"/>
      <c r="M68" s="134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39">
        <v>97</v>
      </c>
    </row>
    <row r="121" spans="66:66" x14ac:dyDescent="0.15">
      <c r="BN121" s="139">
        <v>45</v>
      </c>
    </row>
    <row r="122" spans="66:66" x14ac:dyDescent="0.15">
      <c r="BN122" s="139">
        <v>34</v>
      </c>
    </row>
    <row r="123" spans="66:66" x14ac:dyDescent="0.15">
      <c r="BN123" s="139">
        <v>0</v>
      </c>
    </row>
    <row r="124" spans="66:66" x14ac:dyDescent="0.15">
      <c r="BN124" s="139">
        <v>0</v>
      </c>
    </row>
    <row r="125" spans="66:66" x14ac:dyDescent="0.15">
      <c r="BN125" s="139">
        <v>0</v>
      </c>
    </row>
    <row r="126" spans="66:66" x14ac:dyDescent="0.15">
      <c r="BN126" s="139">
        <v>0</v>
      </c>
    </row>
    <row r="127" spans="66:66" x14ac:dyDescent="0.15">
      <c r="BN127" s="139">
        <v>0</v>
      </c>
    </row>
    <row r="128" spans="66:66" x14ac:dyDescent="0.15">
      <c r="BN128" s="139">
        <v>0</v>
      </c>
    </row>
    <row r="129" spans="66:66" x14ac:dyDescent="0.15">
      <c r="BN129" s="139">
        <v>0</v>
      </c>
    </row>
    <row r="130" spans="66:66" x14ac:dyDescent="0.15">
      <c r="BN130" s="139">
        <v>0</v>
      </c>
    </row>
    <row r="131" spans="66:66" x14ac:dyDescent="0.15">
      <c r="BN131" s="139">
        <v>0</v>
      </c>
    </row>
    <row r="132" spans="66:66" x14ac:dyDescent="0.15">
      <c r="BN132" s="139">
        <v>0</v>
      </c>
    </row>
    <row r="133" spans="66:66" x14ac:dyDescent="0.15">
      <c r="BN133" s="139">
        <v>0</v>
      </c>
    </row>
    <row r="134" spans="66:66" x14ac:dyDescent="0.15">
      <c r="BN134" s="139">
        <v>0</v>
      </c>
    </row>
    <row r="135" spans="66:66" x14ac:dyDescent="0.15">
      <c r="BN135" s="139">
        <v>0</v>
      </c>
    </row>
    <row r="136" spans="66:66" x14ac:dyDescent="0.15">
      <c r="BN136" s="139">
        <v>0</v>
      </c>
    </row>
    <row r="137" spans="66:66" x14ac:dyDescent="0.15">
      <c r="BN137" s="139">
        <v>0</v>
      </c>
    </row>
    <row r="138" spans="66:66" x14ac:dyDescent="0.15">
      <c r="BN138" s="139">
        <v>0</v>
      </c>
    </row>
    <row r="139" spans="66:66" x14ac:dyDescent="0.15">
      <c r="BN139" s="139">
        <v>0</v>
      </c>
    </row>
    <row r="140" spans="66:66" x14ac:dyDescent="0.15">
      <c r="BN140" s="139">
        <v>0</v>
      </c>
    </row>
    <row r="141" spans="66:66" x14ac:dyDescent="0.15">
      <c r="BN141" s="139">
        <v>0</v>
      </c>
    </row>
    <row r="142" spans="66:66" x14ac:dyDescent="0.15">
      <c r="BN142" s="139">
        <v>0</v>
      </c>
    </row>
    <row r="143" spans="66:66" x14ac:dyDescent="0.15">
      <c r="BN143" s="139">
        <v>0</v>
      </c>
    </row>
    <row r="144" spans="66:66" x14ac:dyDescent="0.15">
      <c r="BN144" s="139">
        <v>0</v>
      </c>
    </row>
    <row r="145" spans="66:66" x14ac:dyDescent="0.15">
      <c r="BN145" s="139">
        <v>0</v>
      </c>
    </row>
    <row r="146" spans="66:66" x14ac:dyDescent="0.15">
      <c r="BN146" s="139">
        <v>0</v>
      </c>
    </row>
    <row r="147" spans="66:66" x14ac:dyDescent="0.15">
      <c r="BN147" s="139">
        <v>0</v>
      </c>
    </row>
    <row r="148" spans="66:66" x14ac:dyDescent="0.15">
      <c r="BN148" s="139">
        <v>0</v>
      </c>
    </row>
    <row r="149" spans="66:66" x14ac:dyDescent="0.15">
      <c r="BN149" s="139">
        <v>0</v>
      </c>
    </row>
    <row r="150" spans="66:66" x14ac:dyDescent="0.15">
      <c r="BN150" s="139">
        <v>0</v>
      </c>
    </row>
    <row r="151" spans="66:66" x14ac:dyDescent="0.15">
      <c r="BN151" s="139">
        <v>0</v>
      </c>
    </row>
    <row r="152" spans="66:66" x14ac:dyDescent="0.15">
      <c r="BN152" s="139">
        <v>0</v>
      </c>
    </row>
    <row r="153" spans="66:66" x14ac:dyDescent="0.15">
      <c r="BN153" s="139">
        <v>0</v>
      </c>
    </row>
    <row r="154" spans="66:66" x14ac:dyDescent="0.15">
      <c r="BN154" s="139">
        <v>0</v>
      </c>
    </row>
    <row r="155" spans="66:66" x14ac:dyDescent="0.15">
      <c r="BN155" s="139">
        <v>0</v>
      </c>
    </row>
    <row r="156" spans="66:66" x14ac:dyDescent="0.15">
      <c r="BN156" s="139">
        <v>0</v>
      </c>
    </row>
    <row r="157" spans="66:66" x14ac:dyDescent="0.15">
      <c r="BN157" s="139">
        <v>0</v>
      </c>
    </row>
    <row r="158" spans="66:66" x14ac:dyDescent="0.15">
      <c r="BN158" s="139">
        <v>0</v>
      </c>
    </row>
    <row r="159" spans="66:66" x14ac:dyDescent="0.15">
      <c r="BN159" s="139">
        <v>0</v>
      </c>
    </row>
    <row r="160" spans="66:66" x14ac:dyDescent="0.15">
      <c r="BN160" s="139">
        <v>0</v>
      </c>
    </row>
    <row r="161" spans="66:66" x14ac:dyDescent="0.15">
      <c r="BN161" s="139">
        <v>0</v>
      </c>
    </row>
    <row r="266" spans="8:15" x14ac:dyDescent="0.15">
      <c r="H266" t="s">
        <v>179</v>
      </c>
      <c r="I266" t="s">
        <v>179</v>
      </c>
      <c r="J266" t="s">
        <v>179</v>
      </c>
      <c r="K266" t="s">
        <v>179</v>
      </c>
      <c r="L266" t="s">
        <v>179</v>
      </c>
      <c r="M266" t="s">
        <v>179</v>
      </c>
      <c r="N266" t="s">
        <v>179</v>
      </c>
      <c r="O266" t="s">
        <v>179</v>
      </c>
    </row>
    <row r="1000" spans="8:80" x14ac:dyDescent="0.15"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1"/>
      <c r="AB1000" s="141"/>
      <c r="AC1000" s="141"/>
      <c r="AD1000" s="141"/>
      <c r="AE1000" s="141"/>
      <c r="AF1000" s="141"/>
      <c r="AG1000" s="141"/>
      <c r="AH1000" s="141"/>
      <c r="AI1000" s="141"/>
      <c r="AJ1000" s="141"/>
      <c r="AK1000" s="141"/>
      <c r="AL1000" s="141"/>
      <c r="AM1000" s="141"/>
      <c r="AN1000" s="141"/>
      <c r="AO1000" s="141"/>
      <c r="AP1000" s="141"/>
      <c r="AQ1000" s="141"/>
      <c r="AR1000" s="141"/>
      <c r="AS1000" s="141"/>
      <c r="AT1000" s="141"/>
      <c r="AU1000" s="141"/>
      <c r="AV1000" s="141"/>
      <c r="AW1000" s="141"/>
      <c r="AX1000" s="141"/>
      <c r="AY1000" s="141"/>
      <c r="AZ1000" s="141"/>
      <c r="BA1000" s="141"/>
      <c r="BB1000" s="141"/>
      <c r="BC1000" s="141"/>
      <c r="BD1000" s="141"/>
      <c r="BE1000" s="141"/>
      <c r="BF1000" s="140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42">
        <f t="shared" ref="CB1000:CB1029" si="4">SUM(I1000:CA1000)</f>
        <v>0</v>
      </c>
    </row>
    <row r="1001" spans="8:80" x14ac:dyDescent="0.15">
      <c r="H1001" s="140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1"/>
      <c r="AB1001" s="141"/>
      <c r="AC1001" s="141"/>
      <c r="AD1001" s="141"/>
      <c r="AE1001" s="141"/>
      <c r="AF1001" s="141"/>
      <c r="AG1001" s="141"/>
      <c r="AH1001" s="141"/>
      <c r="AI1001" s="141"/>
      <c r="AJ1001" s="141"/>
      <c r="AK1001" s="141"/>
      <c r="AL1001" s="141"/>
      <c r="AM1001" s="141"/>
      <c r="AN1001" s="141"/>
      <c r="AO1001" s="141"/>
      <c r="AP1001" s="141"/>
      <c r="AQ1001" s="141"/>
      <c r="AR1001" s="141"/>
      <c r="AS1001" s="141"/>
      <c r="AT1001" s="141"/>
      <c r="AU1001" s="141"/>
      <c r="AV1001" s="141"/>
      <c r="AW1001" s="141"/>
      <c r="AX1001" s="141"/>
      <c r="AY1001" s="141"/>
      <c r="AZ1001" s="141"/>
      <c r="BA1001" s="141"/>
      <c r="BB1001" s="141"/>
      <c r="BC1001" s="141"/>
      <c r="BD1001" s="141"/>
      <c r="BE1001" s="141"/>
      <c r="BF1001" s="140"/>
      <c r="BG1001" s="139"/>
      <c r="BH1001" s="139"/>
      <c r="BI1001" s="139"/>
      <c r="BJ1001" s="139"/>
      <c r="BK1001" s="139"/>
      <c r="BL1001" s="139"/>
      <c r="BM1001" s="139"/>
      <c r="BN1001" s="139"/>
      <c r="BO1001" s="139"/>
      <c r="BP1001" s="139"/>
      <c r="BQ1001" s="139"/>
      <c r="BR1001" s="139"/>
      <c r="BS1001" s="139"/>
      <c r="BT1001" s="139"/>
      <c r="BU1001" s="139"/>
      <c r="BV1001" s="139"/>
      <c r="BW1001" s="139"/>
      <c r="BX1001" s="139"/>
      <c r="BY1001" s="139"/>
      <c r="BZ1001" s="139"/>
      <c r="CA1001" s="139"/>
      <c r="CB1001" s="142">
        <f t="shared" si="4"/>
        <v>0</v>
      </c>
    </row>
    <row r="1002" spans="8:80" x14ac:dyDescent="0.15">
      <c r="H1002" s="140"/>
      <c r="I1002" s="140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1"/>
      <c r="AB1002" s="141"/>
      <c r="AC1002" s="141"/>
      <c r="AD1002" s="141"/>
      <c r="AE1002" s="141"/>
      <c r="AF1002" s="141"/>
      <c r="AG1002" s="141"/>
      <c r="AH1002" s="141"/>
      <c r="AI1002" s="141"/>
      <c r="AJ1002" s="141"/>
      <c r="AK1002" s="141"/>
      <c r="AL1002" s="141"/>
      <c r="AM1002" s="141"/>
      <c r="AN1002" s="141"/>
      <c r="AO1002" s="141"/>
      <c r="AP1002" s="141"/>
      <c r="AQ1002" s="141"/>
      <c r="AR1002" s="141"/>
      <c r="AS1002" s="141"/>
      <c r="AT1002" s="141"/>
      <c r="AU1002" s="141"/>
      <c r="AV1002" s="141"/>
      <c r="AW1002" s="141"/>
      <c r="AX1002" s="141"/>
      <c r="AY1002" s="141"/>
      <c r="AZ1002" s="141"/>
      <c r="BA1002" s="141"/>
      <c r="BB1002" s="141"/>
      <c r="BC1002" s="141"/>
      <c r="BD1002" s="141"/>
      <c r="BE1002" s="141"/>
      <c r="BF1002" s="140"/>
      <c r="BG1002" s="139"/>
      <c r="BH1002" s="139"/>
      <c r="BI1002" s="139"/>
      <c r="BJ1002" s="139"/>
      <c r="BK1002" s="139"/>
      <c r="BL1002" s="139"/>
      <c r="BM1002" s="139"/>
      <c r="BN1002" s="139"/>
      <c r="BO1002" s="139"/>
      <c r="BP1002" s="139"/>
      <c r="BQ1002" s="139"/>
      <c r="BR1002" s="139"/>
      <c r="BS1002" s="139"/>
      <c r="BT1002" s="139"/>
      <c r="BU1002" s="139"/>
      <c r="BV1002" s="139"/>
      <c r="BW1002" s="139"/>
      <c r="BX1002" s="139"/>
      <c r="BY1002" s="139"/>
      <c r="BZ1002" s="139"/>
      <c r="CA1002" s="139"/>
      <c r="CB1002" s="142">
        <f t="shared" si="4"/>
        <v>0</v>
      </c>
    </row>
    <row r="1003" spans="8:80" x14ac:dyDescent="0.15">
      <c r="H1003" s="140"/>
      <c r="I1003" s="140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1"/>
      <c r="AB1003" s="141"/>
      <c r="AC1003" s="141"/>
      <c r="AD1003" s="141"/>
      <c r="AE1003" s="141"/>
      <c r="AF1003" s="141"/>
      <c r="AG1003" s="141"/>
      <c r="AH1003" s="141"/>
      <c r="AI1003" s="141"/>
      <c r="AJ1003" s="141"/>
      <c r="AK1003" s="141"/>
      <c r="AL1003" s="141"/>
      <c r="AM1003" s="141"/>
      <c r="AN1003" s="141"/>
      <c r="AO1003" s="141"/>
      <c r="AP1003" s="141"/>
      <c r="AQ1003" s="141"/>
      <c r="AR1003" s="141"/>
      <c r="AS1003" s="141"/>
      <c r="AT1003" s="141"/>
      <c r="AU1003" s="141"/>
      <c r="AV1003" s="141"/>
      <c r="AW1003" s="141"/>
      <c r="AX1003" s="141"/>
      <c r="AY1003" s="141"/>
      <c r="AZ1003" s="141"/>
      <c r="BA1003" s="141"/>
      <c r="BB1003" s="141"/>
      <c r="BC1003" s="141"/>
      <c r="BD1003" s="141"/>
      <c r="BE1003" s="141"/>
      <c r="BF1003" s="140"/>
      <c r="BG1003" s="139"/>
      <c r="BH1003" s="139"/>
      <c r="BI1003" s="139"/>
      <c r="BJ1003" s="139"/>
      <c r="BK1003" s="139"/>
      <c r="BL1003" s="139"/>
      <c r="BM1003" s="139"/>
      <c r="BN1003" s="139"/>
      <c r="BO1003" s="139"/>
      <c r="BP1003" s="139"/>
      <c r="BQ1003" s="139"/>
      <c r="BR1003" s="139"/>
      <c r="BS1003" s="139"/>
      <c r="BT1003" s="139"/>
      <c r="BU1003" s="139"/>
      <c r="BV1003" s="139"/>
      <c r="BW1003" s="139"/>
      <c r="BX1003" s="139"/>
      <c r="BY1003" s="139"/>
      <c r="BZ1003" s="139"/>
      <c r="CA1003" s="139"/>
      <c r="CB1003" s="142">
        <f t="shared" si="4"/>
        <v>0</v>
      </c>
    </row>
    <row r="1004" spans="8:80" x14ac:dyDescent="0.15">
      <c r="H1004" s="140"/>
      <c r="I1004" s="140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1"/>
      <c r="AB1004" s="141"/>
      <c r="AC1004" s="141"/>
      <c r="AD1004" s="141"/>
      <c r="AE1004" s="141"/>
      <c r="AF1004" s="141"/>
      <c r="AG1004" s="141"/>
      <c r="AH1004" s="141"/>
      <c r="AI1004" s="141"/>
      <c r="AJ1004" s="141"/>
      <c r="AK1004" s="141"/>
      <c r="AL1004" s="141"/>
      <c r="AM1004" s="141"/>
      <c r="AN1004" s="141"/>
      <c r="AO1004" s="141"/>
      <c r="AP1004" s="141"/>
      <c r="AQ1004" s="141"/>
      <c r="AR1004" s="141"/>
      <c r="AS1004" s="141"/>
      <c r="AT1004" s="141"/>
      <c r="AU1004" s="141"/>
      <c r="AV1004" s="141"/>
      <c r="AW1004" s="141"/>
      <c r="AX1004" s="141"/>
      <c r="AY1004" s="141"/>
      <c r="AZ1004" s="141"/>
      <c r="BA1004" s="141"/>
      <c r="BB1004" s="141"/>
      <c r="BC1004" s="141"/>
      <c r="BD1004" s="141"/>
      <c r="BE1004" s="141"/>
      <c r="BF1004" s="140"/>
      <c r="BG1004" s="139"/>
      <c r="BH1004" s="139"/>
      <c r="BI1004" s="139"/>
      <c r="BJ1004" s="139"/>
      <c r="BK1004" s="139"/>
      <c r="BL1004" s="139"/>
      <c r="BM1004" s="139"/>
      <c r="BN1004" s="139"/>
      <c r="BO1004" s="139"/>
      <c r="BP1004" s="139"/>
      <c r="BQ1004" s="139"/>
      <c r="BR1004" s="139"/>
      <c r="BS1004" s="139"/>
      <c r="BT1004" s="139"/>
      <c r="BU1004" s="139"/>
      <c r="BV1004" s="139"/>
      <c r="BW1004" s="139"/>
      <c r="BX1004" s="139"/>
      <c r="BY1004" s="139"/>
      <c r="BZ1004" s="139"/>
      <c r="CA1004" s="139"/>
      <c r="CB1004" s="142">
        <f t="shared" si="4"/>
        <v>0</v>
      </c>
    </row>
    <row r="1005" spans="8:80" x14ac:dyDescent="0.15"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0"/>
      <c r="AA1005" s="141"/>
      <c r="AB1005" s="141"/>
      <c r="AC1005" s="141"/>
      <c r="AD1005" s="141"/>
      <c r="AE1005" s="141"/>
      <c r="AF1005" s="141"/>
      <c r="AG1005" s="141"/>
      <c r="AH1005" s="141"/>
      <c r="AI1005" s="141"/>
      <c r="AJ1005" s="141"/>
      <c r="AK1005" s="141"/>
      <c r="AL1005" s="141"/>
      <c r="AM1005" s="141"/>
      <c r="AN1005" s="141"/>
      <c r="AO1005" s="141"/>
      <c r="AP1005" s="141"/>
      <c r="AQ1005" s="141"/>
      <c r="AR1005" s="141"/>
      <c r="AS1005" s="141"/>
      <c r="AT1005" s="141"/>
      <c r="AU1005" s="141"/>
      <c r="AV1005" s="141"/>
      <c r="AW1005" s="141"/>
      <c r="AX1005" s="141"/>
      <c r="AY1005" s="141"/>
      <c r="AZ1005" s="141"/>
      <c r="BA1005" s="141"/>
      <c r="BB1005" s="141"/>
      <c r="BC1005" s="141"/>
      <c r="BD1005" s="141"/>
      <c r="BE1005" s="141"/>
      <c r="BF1005" s="140"/>
      <c r="BG1005" s="139"/>
      <c r="BH1005" s="139"/>
      <c r="BI1005" s="139"/>
      <c r="BJ1005" s="139"/>
      <c r="BK1005" s="139"/>
      <c r="BL1005" s="139"/>
      <c r="BM1005" s="139"/>
      <c r="BN1005" s="139"/>
      <c r="BO1005" s="139"/>
      <c r="BP1005" s="139"/>
      <c r="BQ1005" s="139"/>
      <c r="BR1005" s="139"/>
      <c r="BS1005" s="139"/>
      <c r="BT1005" s="139"/>
      <c r="BU1005" s="139"/>
      <c r="BV1005" s="139"/>
      <c r="BW1005" s="139"/>
      <c r="BX1005" s="139"/>
      <c r="BY1005" s="139"/>
      <c r="BZ1005" s="139"/>
      <c r="CA1005" s="139"/>
      <c r="CB1005" s="142">
        <f t="shared" si="4"/>
        <v>0</v>
      </c>
    </row>
    <row r="1006" spans="8:80" x14ac:dyDescent="0.15"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  <c r="R1006" s="140"/>
      <c r="S1006" s="140"/>
      <c r="T1006" s="140"/>
      <c r="U1006" s="140"/>
      <c r="V1006" s="140"/>
      <c r="W1006" s="140"/>
      <c r="X1006" s="140"/>
      <c r="Y1006" s="140"/>
      <c r="Z1006" s="140"/>
      <c r="AA1006" s="141"/>
      <c r="AB1006" s="141"/>
      <c r="AC1006" s="141"/>
      <c r="AD1006" s="141"/>
      <c r="AE1006" s="141"/>
      <c r="AF1006" s="141"/>
      <c r="AG1006" s="141"/>
      <c r="AH1006" s="141"/>
      <c r="AI1006" s="141"/>
      <c r="AJ1006" s="141"/>
      <c r="AK1006" s="141"/>
      <c r="AL1006" s="141"/>
      <c r="AM1006" s="141"/>
      <c r="AN1006" s="141"/>
      <c r="AO1006" s="141"/>
      <c r="AP1006" s="141"/>
      <c r="AQ1006" s="141"/>
      <c r="AR1006" s="141"/>
      <c r="AS1006" s="141"/>
      <c r="AT1006" s="141"/>
      <c r="AU1006" s="141"/>
      <c r="AV1006" s="141"/>
      <c r="AW1006" s="141"/>
      <c r="AX1006" s="141"/>
      <c r="AY1006" s="141"/>
      <c r="AZ1006" s="141"/>
      <c r="BA1006" s="141"/>
      <c r="BB1006" s="141"/>
      <c r="BC1006" s="141"/>
      <c r="BD1006" s="141"/>
      <c r="BE1006" s="141"/>
      <c r="BF1006" s="140"/>
      <c r="BG1006" s="139"/>
      <c r="BH1006" s="139"/>
      <c r="BI1006" s="139"/>
      <c r="BJ1006" s="139"/>
      <c r="BK1006" s="139"/>
      <c r="BL1006" s="139"/>
      <c r="BM1006" s="139"/>
      <c r="BN1006" s="139"/>
      <c r="BO1006" s="139"/>
      <c r="BP1006" s="139"/>
      <c r="BQ1006" s="139"/>
      <c r="BR1006" s="139"/>
      <c r="BS1006" s="139"/>
      <c r="BT1006" s="139"/>
      <c r="BU1006" s="139"/>
      <c r="BV1006" s="139"/>
      <c r="BW1006" s="139"/>
      <c r="BX1006" s="139"/>
      <c r="BY1006" s="139"/>
      <c r="BZ1006" s="139"/>
      <c r="CA1006" s="139"/>
      <c r="CB1006" s="142">
        <f t="shared" si="4"/>
        <v>0</v>
      </c>
    </row>
    <row r="1007" spans="8:80" x14ac:dyDescent="0.15"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  <c r="R1007" s="140"/>
      <c r="S1007" s="140"/>
      <c r="T1007" s="140"/>
      <c r="U1007" s="140"/>
      <c r="V1007" s="140"/>
      <c r="W1007" s="140"/>
      <c r="X1007" s="140"/>
      <c r="Y1007" s="140"/>
      <c r="Z1007" s="140"/>
      <c r="AA1007" s="141"/>
      <c r="AB1007" s="141"/>
      <c r="AC1007" s="141"/>
      <c r="AD1007" s="141"/>
      <c r="AE1007" s="141"/>
      <c r="AF1007" s="141"/>
      <c r="AG1007" s="141"/>
      <c r="AH1007" s="141"/>
      <c r="AI1007" s="141"/>
      <c r="AJ1007" s="141"/>
      <c r="AK1007" s="141"/>
      <c r="AL1007" s="141"/>
      <c r="AM1007" s="141"/>
      <c r="AN1007" s="141"/>
      <c r="AO1007" s="141"/>
      <c r="AP1007" s="141"/>
      <c r="AQ1007" s="141"/>
      <c r="AR1007" s="141"/>
      <c r="AS1007" s="141"/>
      <c r="AT1007" s="141"/>
      <c r="AU1007" s="141"/>
      <c r="AV1007" s="141"/>
      <c r="AW1007" s="141"/>
      <c r="AX1007" s="141"/>
      <c r="AY1007" s="141"/>
      <c r="AZ1007" s="141"/>
      <c r="BA1007" s="141"/>
      <c r="BB1007" s="141"/>
      <c r="BC1007" s="141"/>
      <c r="BD1007" s="141"/>
      <c r="BE1007" s="141"/>
      <c r="BF1007" s="140"/>
      <c r="BG1007" s="139"/>
      <c r="BH1007" s="139"/>
      <c r="BI1007" s="139"/>
      <c r="BJ1007" s="139"/>
      <c r="BK1007" s="139"/>
      <c r="BL1007" s="139"/>
      <c r="BM1007" s="139"/>
      <c r="BN1007" s="139"/>
      <c r="BO1007" s="139"/>
      <c r="BP1007" s="139"/>
      <c r="BQ1007" s="139"/>
      <c r="BR1007" s="139"/>
      <c r="BS1007" s="139"/>
      <c r="BT1007" s="139"/>
      <c r="BU1007" s="139"/>
      <c r="BV1007" s="139"/>
      <c r="BW1007" s="139"/>
      <c r="BX1007" s="139"/>
      <c r="BY1007" s="139"/>
      <c r="BZ1007" s="139"/>
      <c r="CA1007" s="139"/>
      <c r="CB1007" s="142">
        <f t="shared" si="4"/>
        <v>0</v>
      </c>
    </row>
    <row r="1008" spans="8:80" x14ac:dyDescent="0.15">
      <c r="H1008" s="140"/>
      <c r="I1008" s="140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1"/>
      <c r="AB1008" s="141"/>
      <c r="AC1008" s="141"/>
      <c r="AD1008" s="141"/>
      <c r="AE1008" s="141"/>
      <c r="AF1008" s="141"/>
      <c r="AG1008" s="141"/>
      <c r="AH1008" s="141"/>
      <c r="AI1008" s="141"/>
      <c r="AJ1008" s="141"/>
      <c r="AK1008" s="141"/>
      <c r="AL1008" s="141"/>
      <c r="AM1008" s="141"/>
      <c r="AN1008" s="141"/>
      <c r="AO1008" s="141"/>
      <c r="AP1008" s="141"/>
      <c r="AQ1008" s="141"/>
      <c r="AR1008" s="141"/>
      <c r="AS1008" s="141"/>
      <c r="AT1008" s="141"/>
      <c r="AU1008" s="141"/>
      <c r="AV1008" s="141"/>
      <c r="AW1008" s="141"/>
      <c r="AX1008" s="141"/>
      <c r="AY1008" s="141"/>
      <c r="AZ1008" s="141"/>
      <c r="BA1008" s="141"/>
      <c r="BB1008" s="141"/>
      <c r="BC1008" s="141"/>
      <c r="BD1008" s="141"/>
      <c r="BE1008" s="141"/>
      <c r="BF1008" s="140"/>
      <c r="BG1008" s="139"/>
      <c r="BH1008" s="139"/>
      <c r="BI1008" s="139"/>
      <c r="BJ1008" s="139"/>
      <c r="BK1008" s="139"/>
      <c r="BL1008" s="139"/>
      <c r="BM1008" s="139"/>
      <c r="BN1008" s="139"/>
      <c r="BO1008" s="139"/>
      <c r="BP1008" s="139"/>
      <c r="BQ1008" s="139"/>
      <c r="BR1008" s="139"/>
      <c r="BS1008" s="139"/>
      <c r="BT1008" s="139"/>
      <c r="BU1008" s="139"/>
      <c r="BV1008" s="139"/>
      <c r="BW1008" s="139"/>
      <c r="BX1008" s="139"/>
      <c r="BY1008" s="139"/>
      <c r="BZ1008" s="139"/>
      <c r="CA1008" s="139"/>
      <c r="CB1008" s="142">
        <f t="shared" si="4"/>
        <v>0</v>
      </c>
    </row>
    <row r="1009" spans="8:80" x14ac:dyDescent="0.15">
      <c r="H1009" s="140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1"/>
      <c r="AB1009" s="141"/>
      <c r="AC1009" s="141"/>
      <c r="AD1009" s="141"/>
      <c r="AE1009" s="141"/>
      <c r="AF1009" s="141"/>
      <c r="AG1009" s="141"/>
      <c r="AH1009" s="141"/>
      <c r="AI1009" s="141"/>
      <c r="AJ1009" s="141"/>
      <c r="AK1009" s="141"/>
      <c r="AL1009" s="141"/>
      <c r="AM1009" s="141"/>
      <c r="AN1009" s="141"/>
      <c r="AO1009" s="141"/>
      <c r="AP1009" s="141"/>
      <c r="AQ1009" s="141"/>
      <c r="AR1009" s="141"/>
      <c r="AS1009" s="141"/>
      <c r="AT1009" s="141"/>
      <c r="AU1009" s="141"/>
      <c r="AV1009" s="141"/>
      <c r="AW1009" s="141"/>
      <c r="AX1009" s="141"/>
      <c r="AY1009" s="141"/>
      <c r="AZ1009" s="141"/>
      <c r="BA1009" s="141"/>
      <c r="BB1009" s="141"/>
      <c r="BC1009" s="141"/>
      <c r="BD1009" s="141"/>
      <c r="BE1009" s="141"/>
      <c r="BF1009" s="140"/>
      <c r="BG1009" s="139"/>
      <c r="BH1009" s="139"/>
      <c r="BI1009" s="139"/>
      <c r="BJ1009" s="139"/>
      <c r="BK1009" s="139"/>
      <c r="BL1009" s="139"/>
      <c r="BM1009" s="139"/>
      <c r="BN1009" s="139"/>
      <c r="BO1009" s="139"/>
      <c r="BP1009" s="139"/>
      <c r="BQ1009" s="139"/>
      <c r="BR1009" s="139"/>
      <c r="BS1009" s="139"/>
      <c r="BT1009" s="139"/>
      <c r="BU1009" s="139"/>
      <c r="BV1009" s="139"/>
      <c r="BW1009" s="139"/>
      <c r="BX1009" s="139"/>
      <c r="BY1009" s="139"/>
      <c r="BZ1009" s="139"/>
      <c r="CA1009" s="139"/>
      <c r="CB1009" s="142">
        <f t="shared" si="4"/>
        <v>0</v>
      </c>
    </row>
    <row r="1010" spans="8:80" x14ac:dyDescent="0.15">
      <c r="H1010" s="140"/>
      <c r="I1010" s="140"/>
      <c r="J1010" s="140"/>
      <c r="K1010" s="140"/>
      <c r="L1010" s="140"/>
      <c r="M1010" s="140"/>
      <c r="N1010" s="140"/>
      <c r="O1010" s="140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1"/>
      <c r="AB1010" s="141"/>
      <c r="AC1010" s="141"/>
      <c r="AD1010" s="141"/>
      <c r="AE1010" s="141"/>
      <c r="AF1010" s="141"/>
      <c r="AG1010" s="141"/>
      <c r="AH1010" s="141"/>
      <c r="AI1010" s="141"/>
      <c r="AJ1010" s="141"/>
      <c r="AK1010" s="141"/>
      <c r="AL1010" s="141"/>
      <c r="AM1010" s="141"/>
      <c r="AN1010" s="141"/>
      <c r="AO1010" s="141"/>
      <c r="AP1010" s="141"/>
      <c r="AQ1010" s="141"/>
      <c r="AR1010" s="141"/>
      <c r="AS1010" s="141"/>
      <c r="AT1010" s="141"/>
      <c r="AU1010" s="141"/>
      <c r="AV1010" s="141"/>
      <c r="AW1010" s="141"/>
      <c r="AX1010" s="141"/>
      <c r="AY1010" s="141"/>
      <c r="AZ1010" s="141"/>
      <c r="BA1010" s="141"/>
      <c r="BB1010" s="141"/>
      <c r="BC1010" s="141"/>
      <c r="BD1010" s="141"/>
      <c r="BE1010" s="141"/>
      <c r="BF1010" s="140"/>
      <c r="BG1010" s="139"/>
      <c r="BH1010" s="139"/>
      <c r="BI1010" s="139"/>
      <c r="BJ1010" s="139"/>
      <c r="BK1010" s="139"/>
      <c r="BL1010" s="139"/>
      <c r="BM1010" s="139"/>
      <c r="BN1010" s="139"/>
      <c r="BO1010" s="139"/>
      <c r="BP1010" s="139"/>
      <c r="BQ1010" s="139"/>
      <c r="BR1010" s="139"/>
      <c r="BS1010" s="139"/>
      <c r="BT1010" s="139"/>
      <c r="BU1010" s="139"/>
      <c r="BV1010" s="139"/>
      <c r="BW1010" s="139"/>
      <c r="BX1010" s="139"/>
      <c r="BY1010" s="139"/>
      <c r="BZ1010" s="139"/>
      <c r="CA1010" s="139"/>
      <c r="CB1010" s="142">
        <f t="shared" si="4"/>
        <v>0</v>
      </c>
    </row>
    <row r="1011" spans="8:80" x14ac:dyDescent="0.15">
      <c r="H1011" s="140"/>
      <c r="I1011" s="140"/>
      <c r="J1011" s="140"/>
      <c r="K1011" s="140"/>
      <c r="L1011" s="140"/>
      <c r="M1011" s="140"/>
      <c r="N1011" s="140"/>
      <c r="O1011" s="140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1"/>
      <c r="AB1011" s="141"/>
      <c r="AC1011" s="141"/>
      <c r="AD1011" s="141"/>
      <c r="AE1011" s="141"/>
      <c r="AF1011" s="141"/>
      <c r="AG1011" s="141"/>
      <c r="AH1011" s="141"/>
      <c r="AI1011" s="141"/>
      <c r="AJ1011" s="141"/>
      <c r="AK1011" s="141"/>
      <c r="AL1011" s="141"/>
      <c r="AM1011" s="141"/>
      <c r="AN1011" s="141"/>
      <c r="AO1011" s="141"/>
      <c r="AP1011" s="141"/>
      <c r="AQ1011" s="141"/>
      <c r="AR1011" s="141"/>
      <c r="AS1011" s="141"/>
      <c r="AT1011" s="141"/>
      <c r="AU1011" s="141"/>
      <c r="AV1011" s="141"/>
      <c r="AW1011" s="141"/>
      <c r="AX1011" s="141"/>
      <c r="AY1011" s="141"/>
      <c r="AZ1011" s="141"/>
      <c r="BA1011" s="141"/>
      <c r="BB1011" s="141"/>
      <c r="BC1011" s="141"/>
      <c r="BD1011" s="141"/>
      <c r="BE1011" s="141"/>
      <c r="BF1011" s="140"/>
      <c r="BG1011" s="139"/>
      <c r="BH1011" s="139"/>
      <c r="BI1011" s="139"/>
      <c r="BJ1011" s="139"/>
      <c r="BK1011" s="139"/>
      <c r="BL1011" s="139"/>
      <c r="BM1011" s="139"/>
      <c r="BN1011" s="139"/>
      <c r="BO1011" s="139"/>
      <c r="BP1011" s="139"/>
      <c r="BQ1011" s="139"/>
      <c r="BR1011" s="139"/>
      <c r="BS1011" s="139"/>
      <c r="BT1011" s="139"/>
      <c r="BU1011" s="139"/>
      <c r="BV1011" s="139"/>
      <c r="BW1011" s="139"/>
      <c r="BX1011" s="139"/>
      <c r="BY1011" s="139"/>
      <c r="BZ1011" s="139"/>
      <c r="CA1011" s="139"/>
      <c r="CB1011" s="142">
        <f t="shared" si="4"/>
        <v>0</v>
      </c>
    </row>
    <row r="1012" spans="8:80" x14ac:dyDescent="0.15">
      <c r="H1012" s="140"/>
      <c r="I1012" s="140"/>
      <c r="J1012" s="140"/>
      <c r="K1012" s="140"/>
      <c r="L1012" s="140"/>
      <c r="M1012" s="140"/>
      <c r="N1012" s="140"/>
      <c r="O1012" s="140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1"/>
      <c r="AB1012" s="141"/>
      <c r="AC1012" s="141"/>
      <c r="AD1012" s="141"/>
      <c r="AE1012" s="141"/>
      <c r="AF1012" s="141"/>
      <c r="AG1012" s="141"/>
      <c r="AH1012" s="141"/>
      <c r="AI1012" s="141"/>
      <c r="AJ1012" s="141"/>
      <c r="AK1012" s="141"/>
      <c r="AL1012" s="141"/>
      <c r="AM1012" s="141"/>
      <c r="AN1012" s="141"/>
      <c r="AO1012" s="141"/>
      <c r="AP1012" s="141"/>
      <c r="AQ1012" s="141"/>
      <c r="AR1012" s="141"/>
      <c r="AS1012" s="141"/>
      <c r="AT1012" s="141"/>
      <c r="AU1012" s="141"/>
      <c r="AV1012" s="141"/>
      <c r="AW1012" s="141"/>
      <c r="AX1012" s="141"/>
      <c r="AY1012" s="141"/>
      <c r="AZ1012" s="141"/>
      <c r="BA1012" s="141"/>
      <c r="BB1012" s="141"/>
      <c r="BC1012" s="141"/>
      <c r="BD1012" s="141"/>
      <c r="BE1012" s="141"/>
      <c r="BF1012" s="140"/>
      <c r="BG1012" s="139"/>
      <c r="BH1012" s="139"/>
      <c r="BI1012" s="139"/>
      <c r="BJ1012" s="139"/>
      <c r="BK1012" s="139"/>
      <c r="BL1012" s="139"/>
      <c r="BM1012" s="139"/>
      <c r="BN1012" s="139"/>
      <c r="BO1012" s="139"/>
      <c r="BP1012" s="139"/>
      <c r="BQ1012" s="139"/>
      <c r="BR1012" s="139"/>
      <c r="BS1012" s="139"/>
      <c r="BT1012" s="139"/>
      <c r="BU1012" s="139"/>
      <c r="BV1012" s="139"/>
      <c r="BW1012" s="139"/>
      <c r="BX1012" s="139"/>
      <c r="BY1012" s="139"/>
      <c r="BZ1012" s="139"/>
      <c r="CA1012" s="139"/>
      <c r="CB1012" s="142">
        <f t="shared" si="4"/>
        <v>0</v>
      </c>
    </row>
    <row r="1013" spans="8:80" x14ac:dyDescent="0.15">
      <c r="H1013" s="140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1"/>
      <c r="AB1013" s="141"/>
      <c r="AC1013" s="141"/>
      <c r="AD1013" s="141"/>
      <c r="AE1013" s="141"/>
      <c r="AF1013" s="141"/>
      <c r="AG1013" s="141"/>
      <c r="AH1013" s="141"/>
      <c r="AI1013" s="141"/>
      <c r="AJ1013" s="141"/>
      <c r="AK1013" s="141"/>
      <c r="AL1013" s="141"/>
      <c r="AM1013" s="141"/>
      <c r="AN1013" s="141"/>
      <c r="AO1013" s="141"/>
      <c r="AP1013" s="141"/>
      <c r="AQ1013" s="141"/>
      <c r="AR1013" s="141"/>
      <c r="AS1013" s="141"/>
      <c r="AT1013" s="141"/>
      <c r="AU1013" s="141"/>
      <c r="AV1013" s="141"/>
      <c r="AW1013" s="141"/>
      <c r="AX1013" s="141"/>
      <c r="AY1013" s="141"/>
      <c r="AZ1013" s="141"/>
      <c r="BA1013" s="141"/>
      <c r="BB1013" s="141"/>
      <c r="BC1013" s="141"/>
      <c r="BD1013" s="141"/>
      <c r="BE1013" s="141"/>
      <c r="BF1013" s="140"/>
      <c r="BG1013" s="139"/>
      <c r="BH1013" s="139"/>
      <c r="BI1013" s="139"/>
      <c r="BJ1013" s="139"/>
      <c r="BK1013" s="139"/>
      <c r="BL1013" s="139"/>
      <c r="BM1013" s="139"/>
      <c r="BN1013" s="139"/>
      <c r="BO1013" s="139"/>
      <c r="BP1013" s="139"/>
      <c r="BQ1013" s="139"/>
      <c r="BR1013" s="139"/>
      <c r="BS1013" s="139"/>
      <c r="BT1013" s="139"/>
      <c r="BU1013" s="139"/>
      <c r="BV1013" s="139"/>
      <c r="BW1013" s="139"/>
      <c r="BX1013" s="139"/>
      <c r="BY1013" s="139"/>
      <c r="BZ1013" s="139"/>
      <c r="CA1013" s="139"/>
      <c r="CB1013" s="142">
        <f t="shared" si="4"/>
        <v>0</v>
      </c>
    </row>
    <row r="1014" spans="8:80" x14ac:dyDescent="0.15">
      <c r="H1014" s="140"/>
      <c r="I1014" s="140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1"/>
      <c r="AB1014" s="141"/>
      <c r="AC1014" s="141"/>
      <c r="AD1014" s="141"/>
      <c r="AE1014" s="141"/>
      <c r="AF1014" s="141"/>
      <c r="AG1014" s="141"/>
      <c r="AH1014" s="141"/>
      <c r="AI1014" s="141"/>
      <c r="AJ1014" s="141"/>
      <c r="AK1014" s="141"/>
      <c r="AL1014" s="141"/>
      <c r="AM1014" s="141"/>
      <c r="AN1014" s="141"/>
      <c r="AO1014" s="141"/>
      <c r="AP1014" s="141"/>
      <c r="AQ1014" s="141"/>
      <c r="AR1014" s="141"/>
      <c r="AS1014" s="141"/>
      <c r="AT1014" s="141"/>
      <c r="AU1014" s="141"/>
      <c r="AV1014" s="141"/>
      <c r="AW1014" s="141"/>
      <c r="AX1014" s="141"/>
      <c r="AY1014" s="141"/>
      <c r="AZ1014" s="141"/>
      <c r="BA1014" s="141"/>
      <c r="BB1014" s="141"/>
      <c r="BC1014" s="141"/>
      <c r="BD1014" s="141"/>
      <c r="BE1014" s="141"/>
      <c r="BF1014" s="140"/>
      <c r="BG1014" s="139"/>
      <c r="BH1014" s="139"/>
      <c r="BI1014" s="139"/>
      <c r="BJ1014" s="139"/>
      <c r="BK1014" s="139"/>
      <c r="BL1014" s="139"/>
      <c r="BM1014" s="139"/>
      <c r="BN1014" s="139"/>
      <c r="BO1014" s="139"/>
      <c r="BP1014" s="139"/>
      <c r="BQ1014" s="139"/>
      <c r="BR1014" s="139"/>
      <c r="BS1014" s="139"/>
      <c r="BT1014" s="139"/>
      <c r="BU1014" s="139"/>
      <c r="BV1014" s="139"/>
      <c r="BW1014" s="139"/>
      <c r="BX1014" s="139"/>
      <c r="BY1014" s="139"/>
      <c r="BZ1014" s="139"/>
      <c r="CA1014" s="139"/>
      <c r="CB1014" s="142">
        <f t="shared" si="4"/>
        <v>0</v>
      </c>
    </row>
    <row r="1015" spans="8:80" x14ac:dyDescent="0.15">
      <c r="H1015" s="140"/>
      <c r="I1015" s="140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1"/>
      <c r="AB1015" s="141"/>
      <c r="AC1015" s="141"/>
      <c r="AD1015" s="141"/>
      <c r="AE1015" s="141"/>
      <c r="AF1015" s="141"/>
      <c r="AG1015" s="141"/>
      <c r="AH1015" s="141"/>
      <c r="AI1015" s="141"/>
      <c r="AJ1015" s="141"/>
      <c r="AK1015" s="141"/>
      <c r="AL1015" s="141"/>
      <c r="AM1015" s="141"/>
      <c r="AN1015" s="141"/>
      <c r="AO1015" s="141"/>
      <c r="AP1015" s="141"/>
      <c r="AQ1015" s="141"/>
      <c r="AR1015" s="141"/>
      <c r="AS1015" s="141"/>
      <c r="AT1015" s="141"/>
      <c r="AU1015" s="141"/>
      <c r="AV1015" s="141"/>
      <c r="AW1015" s="141"/>
      <c r="AX1015" s="141"/>
      <c r="AY1015" s="141"/>
      <c r="AZ1015" s="141"/>
      <c r="BA1015" s="141"/>
      <c r="BB1015" s="141"/>
      <c r="BC1015" s="141"/>
      <c r="BD1015" s="141"/>
      <c r="BE1015" s="141"/>
      <c r="BF1015" s="140"/>
      <c r="BG1015" s="139"/>
      <c r="BH1015" s="139"/>
      <c r="BI1015" s="139"/>
      <c r="BJ1015" s="139"/>
      <c r="BK1015" s="139"/>
      <c r="BL1015" s="139"/>
      <c r="BM1015" s="139"/>
      <c r="BN1015" s="139"/>
      <c r="BO1015" s="139"/>
      <c r="BP1015" s="139"/>
      <c r="BQ1015" s="139"/>
      <c r="BR1015" s="139"/>
      <c r="BS1015" s="139"/>
      <c r="BT1015" s="139"/>
      <c r="BU1015" s="139"/>
      <c r="BV1015" s="139"/>
      <c r="BW1015" s="139"/>
      <c r="BX1015" s="139"/>
      <c r="BY1015" s="139"/>
      <c r="BZ1015" s="139"/>
      <c r="CA1015" s="139"/>
      <c r="CB1015" s="142">
        <f t="shared" si="4"/>
        <v>0</v>
      </c>
    </row>
    <row r="1016" spans="8:80" x14ac:dyDescent="0.15">
      <c r="H1016" s="140"/>
      <c r="I1016" s="140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1"/>
      <c r="AB1016" s="141"/>
      <c r="AC1016" s="141"/>
      <c r="AD1016" s="141"/>
      <c r="AE1016" s="141"/>
      <c r="AF1016" s="141"/>
      <c r="AG1016" s="141"/>
      <c r="AH1016" s="141"/>
      <c r="AI1016" s="141"/>
      <c r="AJ1016" s="141"/>
      <c r="AK1016" s="141"/>
      <c r="AL1016" s="141"/>
      <c r="AM1016" s="141"/>
      <c r="AN1016" s="141"/>
      <c r="AO1016" s="141"/>
      <c r="AP1016" s="141"/>
      <c r="AQ1016" s="141"/>
      <c r="AR1016" s="141"/>
      <c r="AS1016" s="141"/>
      <c r="AT1016" s="141"/>
      <c r="AU1016" s="141"/>
      <c r="AV1016" s="141"/>
      <c r="AW1016" s="141"/>
      <c r="AX1016" s="141"/>
      <c r="AY1016" s="141"/>
      <c r="AZ1016" s="141"/>
      <c r="BA1016" s="141"/>
      <c r="BB1016" s="141"/>
      <c r="BC1016" s="141"/>
      <c r="BD1016" s="141"/>
      <c r="BE1016" s="141"/>
      <c r="BF1016" s="140"/>
      <c r="BG1016" s="139"/>
      <c r="BH1016" s="139"/>
      <c r="BI1016" s="139"/>
      <c r="BJ1016" s="139"/>
      <c r="BK1016" s="139"/>
      <c r="BL1016" s="139"/>
      <c r="BM1016" s="139"/>
      <c r="BN1016" s="139"/>
      <c r="BO1016" s="139"/>
      <c r="BP1016" s="139"/>
      <c r="BQ1016" s="139"/>
      <c r="BR1016" s="139"/>
      <c r="BS1016" s="139"/>
      <c r="BT1016" s="139"/>
      <c r="BU1016" s="139"/>
      <c r="BV1016" s="139"/>
      <c r="BW1016" s="139"/>
      <c r="BX1016" s="139"/>
      <c r="BY1016" s="139"/>
      <c r="BZ1016" s="139"/>
      <c r="CA1016" s="139"/>
      <c r="CB1016" s="142">
        <f t="shared" si="4"/>
        <v>0</v>
      </c>
    </row>
    <row r="1017" spans="8:80" x14ac:dyDescent="0.15">
      <c r="H1017" s="140"/>
      <c r="I1017" s="140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1"/>
      <c r="AB1017" s="141"/>
      <c r="AC1017" s="141"/>
      <c r="AD1017" s="141"/>
      <c r="AE1017" s="141"/>
      <c r="AF1017" s="141"/>
      <c r="AG1017" s="141"/>
      <c r="AH1017" s="141"/>
      <c r="AI1017" s="141"/>
      <c r="AJ1017" s="141"/>
      <c r="AK1017" s="141"/>
      <c r="AL1017" s="141"/>
      <c r="AM1017" s="141"/>
      <c r="AN1017" s="141"/>
      <c r="AO1017" s="141"/>
      <c r="AP1017" s="141"/>
      <c r="AQ1017" s="141"/>
      <c r="AR1017" s="141"/>
      <c r="AS1017" s="141"/>
      <c r="AT1017" s="141"/>
      <c r="AU1017" s="141"/>
      <c r="AV1017" s="141"/>
      <c r="AW1017" s="141"/>
      <c r="AX1017" s="141"/>
      <c r="AY1017" s="141"/>
      <c r="AZ1017" s="141"/>
      <c r="BA1017" s="141"/>
      <c r="BB1017" s="141"/>
      <c r="BC1017" s="141"/>
      <c r="BD1017" s="141"/>
      <c r="BE1017" s="141"/>
      <c r="BF1017" s="140"/>
      <c r="BG1017" s="139"/>
      <c r="BH1017" s="139"/>
      <c r="BI1017" s="139"/>
      <c r="BJ1017" s="139"/>
      <c r="BK1017" s="139"/>
      <c r="BL1017" s="139"/>
      <c r="BM1017" s="139"/>
      <c r="BN1017" s="139"/>
      <c r="BO1017" s="139"/>
      <c r="BP1017" s="139"/>
      <c r="BQ1017" s="139"/>
      <c r="BR1017" s="139"/>
      <c r="BS1017" s="139"/>
      <c r="BT1017" s="139"/>
      <c r="BU1017" s="139"/>
      <c r="BV1017" s="139"/>
      <c r="BW1017" s="139"/>
      <c r="BX1017" s="139"/>
      <c r="BY1017" s="139"/>
      <c r="BZ1017" s="139"/>
      <c r="CA1017" s="139"/>
      <c r="CB1017" s="142">
        <f t="shared" si="4"/>
        <v>0</v>
      </c>
    </row>
    <row r="1018" spans="8:80" x14ac:dyDescent="0.15">
      <c r="H1018" s="140"/>
      <c r="I1018" s="140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1"/>
      <c r="AB1018" s="141"/>
      <c r="AC1018" s="141"/>
      <c r="AD1018" s="141"/>
      <c r="AE1018" s="141"/>
      <c r="AF1018" s="141"/>
      <c r="AG1018" s="141"/>
      <c r="AH1018" s="141"/>
      <c r="AI1018" s="141"/>
      <c r="AJ1018" s="141"/>
      <c r="AK1018" s="141"/>
      <c r="AL1018" s="141"/>
      <c r="AM1018" s="141"/>
      <c r="AN1018" s="141"/>
      <c r="AO1018" s="141"/>
      <c r="AP1018" s="141"/>
      <c r="AQ1018" s="141"/>
      <c r="AR1018" s="141"/>
      <c r="AS1018" s="141"/>
      <c r="AT1018" s="141"/>
      <c r="AU1018" s="141"/>
      <c r="AV1018" s="141"/>
      <c r="AW1018" s="141"/>
      <c r="AX1018" s="141"/>
      <c r="AY1018" s="141"/>
      <c r="AZ1018" s="141"/>
      <c r="BA1018" s="141"/>
      <c r="BB1018" s="141"/>
      <c r="BC1018" s="141"/>
      <c r="BD1018" s="141"/>
      <c r="BE1018" s="141"/>
      <c r="BF1018" s="140"/>
      <c r="BG1018" s="139"/>
      <c r="BH1018" s="139"/>
      <c r="BI1018" s="139"/>
      <c r="BJ1018" s="139"/>
      <c r="BK1018" s="139"/>
      <c r="BL1018" s="139"/>
      <c r="BM1018" s="139"/>
      <c r="BN1018" s="139"/>
      <c r="BO1018" s="139"/>
      <c r="BP1018" s="139"/>
      <c r="BQ1018" s="139"/>
      <c r="BR1018" s="139"/>
      <c r="BS1018" s="139"/>
      <c r="BT1018" s="139"/>
      <c r="BU1018" s="139"/>
      <c r="BV1018" s="139"/>
      <c r="BW1018" s="139"/>
      <c r="BX1018" s="139"/>
      <c r="BY1018" s="139"/>
      <c r="BZ1018" s="139"/>
      <c r="CA1018" s="139"/>
      <c r="CB1018" s="142">
        <f t="shared" si="4"/>
        <v>0</v>
      </c>
    </row>
    <row r="1019" spans="8:80" x14ac:dyDescent="0.15">
      <c r="H1019" s="140"/>
      <c r="I1019" s="140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1"/>
      <c r="AB1019" s="141"/>
      <c r="AC1019" s="141"/>
      <c r="AD1019" s="141"/>
      <c r="AE1019" s="141"/>
      <c r="AF1019" s="141"/>
      <c r="AG1019" s="141"/>
      <c r="AH1019" s="141"/>
      <c r="AI1019" s="141"/>
      <c r="AJ1019" s="141"/>
      <c r="AK1019" s="141"/>
      <c r="AL1019" s="141"/>
      <c r="AM1019" s="141"/>
      <c r="AN1019" s="141"/>
      <c r="AO1019" s="141"/>
      <c r="AP1019" s="141"/>
      <c r="AQ1019" s="141"/>
      <c r="AR1019" s="141"/>
      <c r="AS1019" s="141"/>
      <c r="AT1019" s="141"/>
      <c r="AU1019" s="141"/>
      <c r="AV1019" s="141"/>
      <c r="AW1019" s="141"/>
      <c r="AX1019" s="141"/>
      <c r="AY1019" s="141"/>
      <c r="AZ1019" s="141"/>
      <c r="BA1019" s="141"/>
      <c r="BB1019" s="141"/>
      <c r="BC1019" s="141"/>
      <c r="BD1019" s="141"/>
      <c r="BE1019" s="141"/>
      <c r="BF1019" s="140"/>
      <c r="BG1019" s="139"/>
      <c r="BH1019" s="139"/>
      <c r="BI1019" s="139"/>
      <c r="BJ1019" s="139"/>
      <c r="BK1019" s="139"/>
      <c r="BL1019" s="139"/>
      <c r="BM1019" s="139"/>
      <c r="BN1019" s="139"/>
      <c r="BO1019" s="139"/>
      <c r="BP1019" s="139"/>
      <c r="BQ1019" s="139"/>
      <c r="BR1019" s="139"/>
      <c r="BS1019" s="139"/>
      <c r="BT1019" s="139"/>
      <c r="BU1019" s="139"/>
      <c r="BV1019" s="139"/>
      <c r="BW1019" s="139"/>
      <c r="BX1019" s="139"/>
      <c r="BY1019" s="139"/>
      <c r="BZ1019" s="139"/>
      <c r="CA1019" s="139"/>
      <c r="CB1019" s="142">
        <f t="shared" si="4"/>
        <v>0</v>
      </c>
    </row>
    <row r="1020" spans="8:80" x14ac:dyDescent="0.15">
      <c r="H1020" s="140"/>
      <c r="I1020" s="140"/>
      <c r="J1020" s="140"/>
      <c r="K1020" s="140"/>
      <c r="L1020" s="140"/>
      <c r="M1020" s="140"/>
      <c r="N1020" s="140"/>
      <c r="O1020" s="140"/>
      <c r="P1020" s="140"/>
      <c r="Q1020" s="140"/>
      <c r="R1020" s="140"/>
      <c r="S1020" s="140"/>
      <c r="T1020" s="140"/>
      <c r="U1020" s="140"/>
      <c r="V1020" s="140"/>
      <c r="W1020" s="140"/>
      <c r="X1020" s="140"/>
      <c r="Y1020" s="140"/>
      <c r="Z1020" s="140"/>
      <c r="AA1020" s="141"/>
      <c r="AB1020" s="141"/>
      <c r="AC1020" s="141"/>
      <c r="AD1020" s="141"/>
      <c r="AE1020" s="141"/>
      <c r="AF1020" s="141"/>
      <c r="AG1020" s="141"/>
      <c r="AH1020" s="141"/>
      <c r="AI1020" s="141"/>
      <c r="AJ1020" s="141"/>
      <c r="AK1020" s="141"/>
      <c r="AL1020" s="141"/>
      <c r="AM1020" s="141"/>
      <c r="AN1020" s="141"/>
      <c r="AO1020" s="141"/>
      <c r="AP1020" s="141"/>
      <c r="AQ1020" s="141"/>
      <c r="AR1020" s="141"/>
      <c r="AS1020" s="141"/>
      <c r="AT1020" s="141"/>
      <c r="AU1020" s="141"/>
      <c r="AV1020" s="141"/>
      <c r="AW1020" s="141"/>
      <c r="AX1020" s="141"/>
      <c r="AY1020" s="141"/>
      <c r="AZ1020" s="141"/>
      <c r="BA1020" s="141"/>
      <c r="BB1020" s="141"/>
      <c r="BC1020" s="141"/>
      <c r="BD1020" s="141"/>
      <c r="BE1020" s="141"/>
      <c r="BF1020" s="140"/>
      <c r="BG1020" s="139"/>
      <c r="BH1020" s="139"/>
      <c r="BI1020" s="139"/>
      <c r="BJ1020" s="139"/>
      <c r="BK1020" s="139"/>
      <c r="BL1020" s="139"/>
      <c r="BM1020" s="139"/>
      <c r="BN1020" s="139"/>
      <c r="BO1020" s="139"/>
      <c r="BP1020" s="139"/>
      <c r="BQ1020" s="139"/>
      <c r="BR1020" s="139"/>
      <c r="BS1020" s="139"/>
      <c r="BT1020" s="139"/>
      <c r="BU1020" s="139"/>
      <c r="BV1020" s="139"/>
      <c r="BW1020" s="139"/>
      <c r="BX1020" s="139"/>
      <c r="BY1020" s="139"/>
      <c r="BZ1020" s="139"/>
      <c r="CA1020" s="139"/>
      <c r="CB1020" s="142">
        <f t="shared" si="4"/>
        <v>0</v>
      </c>
    </row>
    <row r="1021" spans="8:80" x14ac:dyDescent="0.15">
      <c r="H1021" s="140"/>
      <c r="I1021" s="140"/>
      <c r="J1021" s="140"/>
      <c r="K1021" s="140"/>
      <c r="L1021" s="140"/>
      <c r="M1021" s="140"/>
      <c r="N1021" s="140"/>
      <c r="O1021" s="140"/>
      <c r="P1021" s="140"/>
      <c r="Q1021" s="140"/>
      <c r="R1021" s="140"/>
      <c r="S1021" s="140"/>
      <c r="T1021" s="140"/>
      <c r="U1021" s="140"/>
      <c r="V1021" s="140"/>
      <c r="W1021" s="140"/>
      <c r="X1021" s="140"/>
      <c r="Y1021" s="140"/>
      <c r="Z1021" s="140"/>
      <c r="AA1021" s="141"/>
      <c r="AB1021" s="141"/>
      <c r="AC1021" s="141"/>
      <c r="AD1021" s="141"/>
      <c r="AE1021" s="141"/>
      <c r="AF1021" s="141"/>
      <c r="AG1021" s="141"/>
      <c r="AH1021" s="141"/>
      <c r="AI1021" s="141"/>
      <c r="AJ1021" s="141"/>
      <c r="AK1021" s="141"/>
      <c r="AL1021" s="141"/>
      <c r="AM1021" s="141"/>
      <c r="AN1021" s="141"/>
      <c r="AO1021" s="141"/>
      <c r="AP1021" s="141"/>
      <c r="AQ1021" s="141"/>
      <c r="AR1021" s="141"/>
      <c r="AS1021" s="141"/>
      <c r="AT1021" s="141"/>
      <c r="AU1021" s="141"/>
      <c r="AV1021" s="141"/>
      <c r="AW1021" s="141"/>
      <c r="AX1021" s="141"/>
      <c r="AY1021" s="141"/>
      <c r="AZ1021" s="141"/>
      <c r="BA1021" s="141"/>
      <c r="BB1021" s="141"/>
      <c r="BC1021" s="141"/>
      <c r="BD1021" s="141"/>
      <c r="BE1021" s="141"/>
      <c r="BF1021" s="140"/>
      <c r="BG1021" s="139"/>
      <c r="BH1021" s="139"/>
      <c r="BI1021" s="139"/>
      <c r="BJ1021" s="139"/>
      <c r="BK1021" s="139"/>
      <c r="BL1021" s="139"/>
      <c r="BM1021" s="139"/>
      <c r="BN1021" s="139"/>
      <c r="BO1021" s="139"/>
      <c r="BP1021" s="139"/>
      <c r="BQ1021" s="139"/>
      <c r="BR1021" s="139"/>
      <c r="BS1021" s="139"/>
      <c r="BT1021" s="139"/>
      <c r="BU1021" s="139"/>
      <c r="BV1021" s="139"/>
      <c r="BW1021" s="139"/>
      <c r="BX1021" s="139"/>
      <c r="BY1021" s="139"/>
      <c r="BZ1021" s="139"/>
      <c r="CA1021" s="139"/>
      <c r="CB1021" s="142">
        <f t="shared" si="4"/>
        <v>0</v>
      </c>
    </row>
    <row r="1022" spans="8:80" x14ac:dyDescent="0.15">
      <c r="H1022" s="140"/>
      <c r="I1022" s="140"/>
      <c r="J1022" s="140"/>
      <c r="K1022" s="140"/>
      <c r="L1022" s="140"/>
      <c r="M1022" s="140"/>
      <c r="N1022" s="140"/>
      <c r="O1022" s="140"/>
      <c r="P1022" s="140"/>
      <c r="Q1022" s="140"/>
      <c r="R1022" s="140"/>
      <c r="S1022" s="140"/>
      <c r="T1022" s="140"/>
      <c r="U1022" s="140"/>
      <c r="V1022" s="140"/>
      <c r="W1022" s="140"/>
      <c r="X1022" s="140"/>
      <c r="Y1022" s="140"/>
      <c r="Z1022" s="140"/>
      <c r="AA1022" s="141"/>
      <c r="AB1022" s="141"/>
      <c r="AC1022" s="141"/>
      <c r="AD1022" s="141"/>
      <c r="AE1022" s="141"/>
      <c r="AF1022" s="141"/>
      <c r="AG1022" s="141"/>
      <c r="AH1022" s="141"/>
      <c r="AI1022" s="141"/>
      <c r="AJ1022" s="141"/>
      <c r="AK1022" s="141"/>
      <c r="AL1022" s="141"/>
      <c r="AM1022" s="141"/>
      <c r="AN1022" s="141"/>
      <c r="AO1022" s="141"/>
      <c r="AP1022" s="141"/>
      <c r="AQ1022" s="141"/>
      <c r="AR1022" s="141"/>
      <c r="AS1022" s="141"/>
      <c r="AT1022" s="141"/>
      <c r="AU1022" s="141"/>
      <c r="AV1022" s="141"/>
      <c r="AW1022" s="141"/>
      <c r="AX1022" s="141"/>
      <c r="AY1022" s="141"/>
      <c r="AZ1022" s="141"/>
      <c r="BA1022" s="141"/>
      <c r="BB1022" s="141"/>
      <c r="BC1022" s="141"/>
      <c r="BD1022" s="141"/>
      <c r="BE1022" s="141"/>
      <c r="BF1022" s="140"/>
      <c r="BG1022" s="139"/>
      <c r="BH1022" s="139"/>
      <c r="BI1022" s="139"/>
      <c r="BJ1022" s="139"/>
      <c r="BK1022" s="139"/>
      <c r="BL1022" s="139"/>
      <c r="BM1022" s="139"/>
      <c r="BN1022" s="139"/>
      <c r="BO1022" s="139"/>
      <c r="BP1022" s="139"/>
      <c r="BQ1022" s="139"/>
      <c r="BR1022" s="139"/>
      <c r="BS1022" s="139"/>
      <c r="BT1022" s="139"/>
      <c r="BU1022" s="139"/>
      <c r="BV1022" s="139"/>
      <c r="BW1022" s="139"/>
      <c r="BX1022" s="139"/>
      <c r="BY1022" s="139"/>
      <c r="BZ1022" s="139"/>
      <c r="CA1022" s="139"/>
      <c r="CB1022" s="142">
        <f t="shared" si="4"/>
        <v>0</v>
      </c>
    </row>
    <row r="1023" spans="8:80" x14ac:dyDescent="0.15">
      <c r="H1023" s="140"/>
      <c r="I1023" s="140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1"/>
      <c r="AB1023" s="141"/>
      <c r="AC1023" s="141"/>
      <c r="AD1023" s="141"/>
      <c r="AE1023" s="141"/>
      <c r="AF1023" s="141"/>
      <c r="AG1023" s="141"/>
      <c r="AH1023" s="141"/>
      <c r="AI1023" s="141"/>
      <c r="AJ1023" s="141"/>
      <c r="AK1023" s="141"/>
      <c r="AL1023" s="141"/>
      <c r="AM1023" s="141"/>
      <c r="AN1023" s="141"/>
      <c r="AO1023" s="141"/>
      <c r="AP1023" s="141"/>
      <c r="AQ1023" s="141"/>
      <c r="AR1023" s="141"/>
      <c r="AS1023" s="141"/>
      <c r="AT1023" s="141"/>
      <c r="AU1023" s="141"/>
      <c r="AV1023" s="141"/>
      <c r="AW1023" s="141"/>
      <c r="AX1023" s="141"/>
      <c r="AY1023" s="141"/>
      <c r="AZ1023" s="141"/>
      <c r="BA1023" s="141"/>
      <c r="BB1023" s="141"/>
      <c r="BC1023" s="141"/>
      <c r="BD1023" s="141"/>
      <c r="BE1023" s="141"/>
      <c r="BF1023" s="140"/>
      <c r="BG1023" s="139"/>
      <c r="BH1023" s="139"/>
      <c r="BI1023" s="139"/>
      <c r="BJ1023" s="139"/>
      <c r="BK1023" s="139"/>
      <c r="BL1023" s="139"/>
      <c r="BM1023" s="139"/>
      <c r="BN1023" s="139"/>
      <c r="BO1023" s="139"/>
      <c r="BP1023" s="139"/>
      <c r="BQ1023" s="139"/>
      <c r="BR1023" s="139"/>
      <c r="BS1023" s="139"/>
      <c r="BT1023" s="139"/>
      <c r="BU1023" s="139"/>
      <c r="BV1023" s="139"/>
      <c r="BW1023" s="139"/>
      <c r="BX1023" s="139"/>
      <c r="BY1023" s="139"/>
      <c r="BZ1023" s="139"/>
      <c r="CA1023" s="139"/>
      <c r="CB1023" s="142">
        <f t="shared" si="4"/>
        <v>0</v>
      </c>
    </row>
    <row r="1024" spans="8:80" x14ac:dyDescent="0.15">
      <c r="H1024" s="140"/>
      <c r="I1024" s="140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1"/>
      <c r="AB1024" s="141"/>
      <c r="AC1024" s="141"/>
      <c r="AD1024" s="141"/>
      <c r="AE1024" s="141"/>
      <c r="AF1024" s="141"/>
      <c r="AG1024" s="141"/>
      <c r="AH1024" s="141"/>
      <c r="AI1024" s="141"/>
      <c r="AJ1024" s="141"/>
      <c r="AK1024" s="141"/>
      <c r="AL1024" s="141"/>
      <c r="AM1024" s="141"/>
      <c r="AN1024" s="141"/>
      <c r="AO1024" s="141"/>
      <c r="AP1024" s="141"/>
      <c r="AQ1024" s="141"/>
      <c r="AR1024" s="141"/>
      <c r="AS1024" s="141"/>
      <c r="AT1024" s="141"/>
      <c r="AU1024" s="141"/>
      <c r="AV1024" s="141"/>
      <c r="AW1024" s="141"/>
      <c r="AX1024" s="141"/>
      <c r="AY1024" s="141"/>
      <c r="AZ1024" s="141"/>
      <c r="BA1024" s="141"/>
      <c r="BB1024" s="141"/>
      <c r="BC1024" s="141"/>
      <c r="BD1024" s="141"/>
      <c r="BE1024" s="141"/>
      <c r="BF1024" s="140"/>
      <c r="BG1024" s="139"/>
      <c r="BH1024" s="139"/>
      <c r="BI1024" s="139"/>
      <c r="BJ1024" s="139"/>
      <c r="BK1024" s="139"/>
      <c r="BL1024" s="139"/>
      <c r="BM1024" s="139"/>
      <c r="BN1024" s="139"/>
      <c r="BO1024" s="139"/>
      <c r="BP1024" s="139"/>
      <c r="BQ1024" s="139"/>
      <c r="BR1024" s="139"/>
      <c r="BS1024" s="139"/>
      <c r="BT1024" s="139"/>
      <c r="BU1024" s="139"/>
      <c r="BV1024" s="139"/>
      <c r="BW1024" s="139"/>
      <c r="BX1024" s="139"/>
      <c r="BY1024" s="139"/>
      <c r="BZ1024" s="139"/>
      <c r="CA1024" s="139"/>
      <c r="CB1024" s="142">
        <f t="shared" si="4"/>
        <v>0</v>
      </c>
    </row>
    <row r="1025" spans="8:80" x14ac:dyDescent="0.15">
      <c r="H1025" s="140"/>
      <c r="I1025" s="140"/>
      <c r="J1025" s="140"/>
      <c r="K1025" s="140"/>
      <c r="L1025" s="140"/>
      <c r="M1025" s="140"/>
      <c r="N1025" s="140"/>
      <c r="O1025" s="140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1"/>
      <c r="AB1025" s="141"/>
      <c r="AC1025" s="141"/>
      <c r="AD1025" s="141"/>
      <c r="AE1025" s="141"/>
      <c r="AF1025" s="141"/>
      <c r="AG1025" s="141"/>
      <c r="AH1025" s="141"/>
      <c r="AI1025" s="141"/>
      <c r="AJ1025" s="141"/>
      <c r="AK1025" s="141"/>
      <c r="AL1025" s="141"/>
      <c r="AM1025" s="141"/>
      <c r="AN1025" s="141"/>
      <c r="AO1025" s="141"/>
      <c r="AP1025" s="141"/>
      <c r="AQ1025" s="141"/>
      <c r="AR1025" s="141"/>
      <c r="AS1025" s="141"/>
      <c r="AT1025" s="141"/>
      <c r="AU1025" s="141"/>
      <c r="AV1025" s="141"/>
      <c r="AW1025" s="141"/>
      <c r="AX1025" s="141"/>
      <c r="AY1025" s="141"/>
      <c r="AZ1025" s="141"/>
      <c r="BA1025" s="141"/>
      <c r="BB1025" s="141"/>
      <c r="BC1025" s="141"/>
      <c r="BD1025" s="141"/>
      <c r="BE1025" s="141"/>
      <c r="BF1025" s="140"/>
      <c r="BG1025" s="139"/>
      <c r="BH1025" s="139"/>
      <c r="BI1025" s="139"/>
      <c r="BJ1025" s="139"/>
      <c r="BK1025" s="139"/>
      <c r="BL1025" s="139"/>
      <c r="BM1025" s="139"/>
      <c r="BN1025" s="139"/>
      <c r="BO1025" s="139"/>
      <c r="BP1025" s="139"/>
      <c r="BQ1025" s="139"/>
      <c r="BR1025" s="139"/>
      <c r="BS1025" s="139"/>
      <c r="BT1025" s="139"/>
      <c r="BU1025" s="139"/>
      <c r="BV1025" s="139"/>
      <c r="BW1025" s="139"/>
      <c r="BX1025" s="139"/>
      <c r="BY1025" s="139"/>
      <c r="BZ1025" s="139"/>
      <c r="CA1025" s="139"/>
      <c r="CB1025" s="142">
        <f t="shared" si="4"/>
        <v>0</v>
      </c>
    </row>
    <row r="1026" spans="8:80" x14ac:dyDescent="0.15">
      <c r="H1026" s="140"/>
      <c r="I1026" s="140"/>
      <c r="J1026" s="140"/>
      <c r="K1026" s="140"/>
      <c r="L1026" s="140"/>
      <c r="M1026" s="140"/>
      <c r="N1026" s="140"/>
      <c r="O1026" s="140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1"/>
      <c r="AB1026" s="141"/>
      <c r="AC1026" s="141"/>
      <c r="AD1026" s="141"/>
      <c r="AE1026" s="141"/>
      <c r="AF1026" s="141"/>
      <c r="AG1026" s="141"/>
      <c r="AH1026" s="141"/>
      <c r="AI1026" s="141"/>
      <c r="AJ1026" s="141"/>
      <c r="AK1026" s="141"/>
      <c r="AL1026" s="141"/>
      <c r="AM1026" s="141"/>
      <c r="AN1026" s="141"/>
      <c r="AO1026" s="141"/>
      <c r="AP1026" s="141"/>
      <c r="AQ1026" s="141"/>
      <c r="AR1026" s="141"/>
      <c r="AS1026" s="141"/>
      <c r="AT1026" s="141"/>
      <c r="AU1026" s="141"/>
      <c r="AV1026" s="141"/>
      <c r="AW1026" s="141"/>
      <c r="AX1026" s="141"/>
      <c r="AY1026" s="141"/>
      <c r="AZ1026" s="141"/>
      <c r="BA1026" s="141"/>
      <c r="BB1026" s="141"/>
      <c r="BC1026" s="141"/>
      <c r="BD1026" s="141"/>
      <c r="BE1026" s="141"/>
      <c r="BF1026" s="140"/>
      <c r="BG1026" s="139"/>
      <c r="BH1026" s="139"/>
      <c r="BI1026" s="139"/>
      <c r="BJ1026" s="139"/>
      <c r="BK1026" s="139"/>
      <c r="BL1026" s="139"/>
      <c r="BM1026" s="139"/>
      <c r="BN1026" s="139"/>
      <c r="BO1026" s="139"/>
      <c r="BP1026" s="139"/>
      <c r="BQ1026" s="139"/>
      <c r="BR1026" s="139"/>
      <c r="BS1026" s="139"/>
      <c r="BT1026" s="139"/>
      <c r="BU1026" s="139"/>
      <c r="BV1026" s="139"/>
      <c r="BW1026" s="139"/>
      <c r="BX1026" s="139"/>
      <c r="BY1026" s="139"/>
      <c r="BZ1026" s="139"/>
      <c r="CA1026" s="139"/>
      <c r="CB1026" s="142">
        <f t="shared" si="4"/>
        <v>0</v>
      </c>
    </row>
    <row r="1027" spans="8:80" x14ac:dyDescent="0.15">
      <c r="H1027" s="140"/>
      <c r="I1027" s="140"/>
      <c r="J1027" s="140"/>
      <c r="K1027" s="140"/>
      <c r="L1027" s="140"/>
      <c r="M1027" s="140"/>
      <c r="N1027" s="140"/>
      <c r="O1027" s="140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1"/>
      <c r="AB1027" s="141"/>
      <c r="AC1027" s="141"/>
      <c r="AD1027" s="141"/>
      <c r="AE1027" s="141"/>
      <c r="AF1027" s="141"/>
      <c r="AG1027" s="141"/>
      <c r="AH1027" s="141"/>
      <c r="AI1027" s="141"/>
      <c r="AJ1027" s="141"/>
      <c r="AK1027" s="141"/>
      <c r="AL1027" s="141"/>
      <c r="AM1027" s="141"/>
      <c r="AN1027" s="141"/>
      <c r="AO1027" s="141"/>
      <c r="AP1027" s="141"/>
      <c r="AQ1027" s="141"/>
      <c r="AR1027" s="141"/>
      <c r="AS1027" s="141"/>
      <c r="AT1027" s="141"/>
      <c r="AU1027" s="141"/>
      <c r="AV1027" s="141"/>
      <c r="AW1027" s="141"/>
      <c r="AX1027" s="141"/>
      <c r="AY1027" s="141"/>
      <c r="AZ1027" s="141"/>
      <c r="BA1027" s="141"/>
      <c r="BB1027" s="141"/>
      <c r="BC1027" s="141"/>
      <c r="BD1027" s="141"/>
      <c r="BE1027" s="141"/>
      <c r="BF1027" s="140"/>
      <c r="BG1027" s="139"/>
      <c r="BH1027" s="139"/>
      <c r="BI1027" s="139"/>
      <c r="BJ1027" s="139"/>
      <c r="BK1027" s="139"/>
      <c r="BL1027" s="139"/>
      <c r="BM1027" s="139"/>
      <c r="BN1027" s="139"/>
      <c r="BO1027" s="139"/>
      <c r="BP1027" s="139"/>
      <c r="BQ1027" s="139"/>
      <c r="BR1027" s="139"/>
      <c r="BS1027" s="139"/>
      <c r="BT1027" s="139"/>
      <c r="BU1027" s="139"/>
      <c r="BV1027" s="139"/>
      <c r="BW1027" s="139"/>
      <c r="BX1027" s="139"/>
      <c r="BY1027" s="139"/>
      <c r="BZ1027" s="139"/>
      <c r="CA1027" s="139"/>
      <c r="CB1027" s="142">
        <f t="shared" si="4"/>
        <v>0</v>
      </c>
    </row>
    <row r="1028" spans="8:80" x14ac:dyDescent="0.15">
      <c r="H1028" s="140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1"/>
      <c r="AB1028" s="141"/>
      <c r="AC1028" s="141"/>
      <c r="AD1028" s="141"/>
      <c r="AE1028" s="141"/>
      <c r="AF1028" s="141"/>
      <c r="AG1028" s="141"/>
      <c r="AH1028" s="141"/>
      <c r="AI1028" s="141"/>
      <c r="AJ1028" s="141"/>
      <c r="AK1028" s="141"/>
      <c r="AL1028" s="141"/>
      <c r="AM1028" s="141"/>
      <c r="AN1028" s="141"/>
      <c r="AO1028" s="141"/>
      <c r="AP1028" s="141"/>
      <c r="AQ1028" s="141"/>
      <c r="AR1028" s="141"/>
      <c r="AS1028" s="141"/>
      <c r="AT1028" s="141"/>
      <c r="AU1028" s="141"/>
      <c r="AV1028" s="141"/>
      <c r="AW1028" s="141"/>
      <c r="AX1028" s="141"/>
      <c r="AY1028" s="141"/>
      <c r="AZ1028" s="141"/>
      <c r="BA1028" s="141"/>
      <c r="BB1028" s="141"/>
      <c r="BC1028" s="141"/>
      <c r="BD1028" s="141"/>
      <c r="BE1028" s="141"/>
      <c r="BF1028" s="140"/>
      <c r="BG1028" s="139"/>
      <c r="BH1028" s="139"/>
      <c r="BI1028" s="139"/>
      <c r="BJ1028" s="139"/>
      <c r="BK1028" s="139"/>
      <c r="BL1028" s="139"/>
      <c r="BM1028" s="139"/>
      <c r="BN1028" s="139"/>
      <c r="BO1028" s="139"/>
      <c r="BP1028" s="139"/>
      <c r="BQ1028" s="139"/>
      <c r="BR1028" s="139"/>
      <c r="BS1028" s="139"/>
      <c r="BT1028" s="139"/>
      <c r="BU1028" s="139"/>
      <c r="BV1028" s="139"/>
      <c r="BW1028" s="139"/>
      <c r="BX1028" s="139"/>
      <c r="BY1028" s="139"/>
      <c r="BZ1028" s="139"/>
      <c r="CA1028" s="139"/>
      <c r="CB1028" s="142">
        <f t="shared" si="4"/>
        <v>0</v>
      </c>
    </row>
    <row r="1029" spans="8:80" x14ac:dyDescent="0.15">
      <c r="H1029" s="140"/>
      <c r="I1029" s="140"/>
      <c r="J1029" s="140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1"/>
      <c r="AB1029" s="141"/>
      <c r="AC1029" s="141"/>
      <c r="AD1029" s="141"/>
      <c r="AE1029" s="141"/>
      <c r="AF1029" s="141"/>
      <c r="AG1029" s="141"/>
      <c r="AH1029" s="141"/>
      <c r="AI1029" s="141"/>
      <c r="AJ1029" s="141"/>
      <c r="AK1029" s="141"/>
      <c r="AL1029" s="141"/>
      <c r="AM1029" s="141"/>
      <c r="AN1029" s="141"/>
      <c r="AO1029" s="141"/>
      <c r="AP1029" s="141"/>
      <c r="AQ1029" s="141"/>
      <c r="AR1029" s="141"/>
      <c r="AS1029" s="141"/>
      <c r="AT1029" s="141"/>
      <c r="AU1029" s="141"/>
      <c r="AV1029" s="141"/>
      <c r="AW1029" s="141"/>
      <c r="AX1029" s="141"/>
      <c r="AY1029" s="141"/>
      <c r="AZ1029" s="141"/>
      <c r="BA1029" s="141"/>
      <c r="BB1029" s="141"/>
      <c r="BC1029" s="141"/>
      <c r="BD1029" s="141"/>
      <c r="BE1029" s="141"/>
      <c r="BF1029" s="140"/>
      <c r="BG1029" s="139"/>
      <c r="BH1029" s="139"/>
      <c r="BI1029" s="139"/>
      <c r="BJ1029" s="139"/>
      <c r="BK1029" s="139"/>
      <c r="BL1029" s="139"/>
      <c r="BM1029" s="139"/>
      <c r="BN1029" s="139"/>
      <c r="BO1029" s="139"/>
      <c r="BP1029" s="139"/>
      <c r="BQ1029" s="139"/>
      <c r="BR1029" s="139"/>
      <c r="BS1029" s="139"/>
      <c r="BT1029" s="139"/>
      <c r="BU1029" s="139"/>
      <c r="BV1029" s="139"/>
      <c r="BW1029" s="139"/>
      <c r="BX1029" s="139"/>
      <c r="BY1029" s="139"/>
      <c r="BZ1029" s="139"/>
      <c r="CA1029" s="139"/>
      <c r="CB1029" s="142">
        <f t="shared" si="4"/>
        <v>0</v>
      </c>
    </row>
    <row r="1100" spans="8:8" ht="21" x14ac:dyDescent="0.15">
      <c r="H1100" s="143" t="s">
        <v>196</v>
      </c>
    </row>
    <row r="1101" spans="8:8" ht="21" x14ac:dyDescent="0.15">
      <c r="H1101" s="143" t="s">
        <v>197</v>
      </c>
    </row>
    <row r="1102" spans="8:8" ht="21" x14ac:dyDescent="0.15">
      <c r="H1102" s="143" t="s">
        <v>198</v>
      </c>
    </row>
    <row r="1103" spans="8:8" ht="21" x14ac:dyDescent="0.15">
      <c r="H1103" s="143" t="s">
        <v>199</v>
      </c>
    </row>
    <row r="1104" spans="8:8" ht="21" x14ac:dyDescent="0.15">
      <c r="H1104" s="143" t="s">
        <v>200</v>
      </c>
    </row>
    <row r="1105" spans="8:8" ht="21" x14ac:dyDescent="0.15">
      <c r="H1105" s="143" t="s">
        <v>201</v>
      </c>
    </row>
    <row r="1106" spans="8:8" x14ac:dyDescent="0.15">
      <c r="H1106" s="144"/>
    </row>
    <row r="1107" spans="8:8" x14ac:dyDescent="0.15">
      <c r="H1107" s="144"/>
    </row>
    <row r="1108" spans="8:8" x14ac:dyDescent="0.15">
      <c r="H1108" s="14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5" r:id="rId4" name="CommandButton5">
          <controlPr defaultSize="0" print="0" autoLine="0" r:id="rId5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2065" r:id="rId4" name="CommandButton5"/>
      </mc:Fallback>
    </mc:AlternateContent>
    <mc:AlternateContent xmlns:mc="http://schemas.openxmlformats.org/markup-compatibility/2006">
      <mc:Choice Requires="x14">
        <control shapeId="2064" r:id="rId6" name="CommandButton4">
          <controlPr defaultSize="0" print="0" autoLine="0" r:id="rId7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2064" r:id="rId6" name="CommandButton4"/>
      </mc:Fallback>
    </mc:AlternateContent>
    <mc:AlternateContent xmlns:mc="http://schemas.openxmlformats.org/markup-compatibility/2006">
      <mc:Choice Requires="x14">
        <control shapeId="2063" r:id="rId8" name="cmdCopy">
          <controlPr defaultSize="0" print="0" autoLine="0" r:id="rId9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2063" r:id="rId8" name="cmdCopy"/>
      </mc:Fallback>
    </mc:AlternateContent>
    <mc:AlternateContent xmlns:mc="http://schemas.openxmlformats.org/markup-compatibility/2006">
      <mc:Choice Requires="x14">
        <control shapeId="2062" r:id="rId10" name="cmdHeadSet">
          <controlPr defaultSize="0" print="0" autoLine="0" r:id="rId11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2062" r:id="rId10" name="cmdHeadSet"/>
      </mc:Fallback>
    </mc:AlternateContent>
    <mc:AlternateContent xmlns:mc="http://schemas.openxmlformats.org/markup-compatibility/2006">
      <mc:Choice Requires="x14">
        <control shapeId="2061" r:id="rId12" name="CommandButton3">
          <controlPr defaultSize="0" print="0" autoLine="0" r:id="rId13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2061" r:id="rId12" name="CommandButton3"/>
      </mc:Fallback>
    </mc:AlternateContent>
    <mc:AlternateContent xmlns:mc="http://schemas.openxmlformats.org/markup-compatibility/2006">
      <mc:Choice Requires="x14">
        <control shapeId="2060" r:id="rId14" name="CommandButton2">
          <controlPr defaultSize="0" print="0" autoLine="0" r:id="rId15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2060" r:id="rId14" name="CommandButton2"/>
      </mc:Fallback>
    </mc:AlternateContent>
    <mc:AlternateContent xmlns:mc="http://schemas.openxmlformats.org/markup-compatibility/2006">
      <mc:Choice Requires="x14">
        <control shapeId="2059" r:id="rId16" name="CommandButton1">
          <controlPr defaultSize="0" print="0" autoLine="0" r:id="rId17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2059" r:id="rId1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B1:CB1108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 activeCell="B4" sqref="B4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78" x14ac:dyDescent="0.15">
      <c r="D1" s="12"/>
      <c r="E1" s="13"/>
      <c r="F1" s="13"/>
    </row>
    <row r="2" spans="2:78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78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78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78" ht="19.5" customHeight="1" thickBot="1" x14ac:dyDescent="0.2">
      <c r="C5" s="37" t="s">
        <v>0</v>
      </c>
      <c r="D5" s="38" t="str">
        <f>IF(原料情報３!$B1="","",原料情報３!$B1)</f>
        <v/>
      </c>
      <c r="E5" s="39"/>
      <c r="F5" s="39"/>
      <c r="G5" s="40" t="s">
        <v>202</v>
      </c>
      <c r="H5" s="39" t="str">
        <f>IF(原料情報３!$B2="","",原料情報３!$B2)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78" ht="17.25" customHeight="1" thickBot="1" x14ac:dyDescent="0.25">
      <c r="C6" s="44"/>
      <c r="D6" s="45"/>
      <c r="E6" s="45"/>
      <c r="F6" s="216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78" ht="38.25" customHeight="1" thickBot="1" x14ac:dyDescent="0.2">
      <c r="B7" s="52" t="s">
        <v>132</v>
      </c>
      <c r="C7" s="53" t="s">
        <v>133</v>
      </c>
      <c r="D7" s="150" t="s">
        <v>134</v>
      </c>
      <c r="E7" s="54" t="s">
        <v>135</v>
      </c>
      <c r="F7" s="217" t="s">
        <v>243</v>
      </c>
      <c r="G7" s="151" t="s">
        <v>136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137</v>
      </c>
      <c r="BG7" s="59"/>
      <c r="BH7" s="60" t="s">
        <v>203</v>
      </c>
      <c r="BI7" s="13"/>
    </row>
    <row r="8" spans="2:78" ht="21.95" customHeight="1" x14ac:dyDescent="0.15">
      <c r="B8" s="152"/>
      <c r="C8" s="153"/>
      <c r="D8" s="154"/>
      <c r="E8" s="154"/>
      <c r="F8" s="64"/>
      <c r="G8" s="65"/>
      <c r="H8" s="209"/>
      <c r="I8" s="155"/>
      <c r="J8" s="155"/>
      <c r="K8" s="155"/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BA8" s="155"/>
      <c r="BB8" s="155"/>
      <c r="BC8" s="155"/>
      <c r="BD8" s="155"/>
      <c r="BE8" s="155"/>
      <c r="BF8" s="210"/>
      <c r="BG8" s="146" t="s">
        <v>138</v>
      </c>
      <c r="BH8" s="147" t="str">
        <f>IF(H7="","",H7)</f>
        <v/>
      </c>
      <c r="BI8" s="148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49"/>
    </row>
    <row r="9" spans="2:78" ht="21.95" customHeight="1" x14ac:dyDescent="0.15">
      <c r="B9" s="69"/>
      <c r="C9" s="70"/>
      <c r="D9" s="72"/>
      <c r="E9" s="72"/>
      <c r="F9" s="71"/>
      <c r="G9" s="156"/>
      <c r="H9" s="202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3"/>
      <c r="BG9" s="75" t="s">
        <v>139</v>
      </c>
      <c r="BH9" s="76" t="str">
        <f>IF(I7="","",I7)</f>
        <v/>
      </c>
      <c r="BI9" s="13"/>
    </row>
    <row r="10" spans="2:78" ht="21.95" customHeight="1" x14ac:dyDescent="0.15">
      <c r="B10" s="77"/>
      <c r="C10" s="70"/>
      <c r="D10" s="72"/>
      <c r="E10" s="72"/>
      <c r="F10" s="71"/>
      <c r="G10" s="156"/>
      <c r="H10" s="202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3"/>
      <c r="BG10" s="75" t="s">
        <v>140</v>
      </c>
      <c r="BH10" s="76" t="str">
        <f>IF(J7="","",J7)</f>
        <v/>
      </c>
      <c r="BI10" s="13"/>
    </row>
    <row r="11" spans="2:78" ht="21.95" customHeight="1" x14ac:dyDescent="0.15">
      <c r="B11" s="77"/>
      <c r="C11" s="70"/>
      <c r="D11" s="72"/>
      <c r="E11" s="72"/>
      <c r="F11" s="71"/>
      <c r="G11" s="156"/>
      <c r="H11" s="202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3"/>
      <c r="BG11" s="75" t="s">
        <v>141</v>
      </c>
      <c r="BH11" s="76" t="str">
        <f>IF(K7="","",K7)</f>
        <v/>
      </c>
      <c r="BI11" s="13"/>
    </row>
    <row r="12" spans="2:78" ht="21.95" customHeight="1" x14ac:dyDescent="0.15">
      <c r="B12" s="77"/>
      <c r="C12" s="70"/>
      <c r="D12" s="72"/>
      <c r="E12" s="72"/>
      <c r="F12" s="71"/>
      <c r="G12" s="156"/>
      <c r="H12" s="202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3"/>
      <c r="BG12" s="75" t="s">
        <v>142</v>
      </c>
      <c r="BH12" s="76" t="str">
        <f>IF(L7="","",L7)</f>
        <v/>
      </c>
      <c r="BI12" s="13"/>
    </row>
    <row r="13" spans="2:78" ht="21.95" customHeight="1" x14ac:dyDescent="0.15">
      <c r="B13" s="77"/>
      <c r="C13" s="70"/>
      <c r="D13" s="72"/>
      <c r="E13" s="72"/>
      <c r="F13" s="71"/>
      <c r="G13" s="156"/>
      <c r="H13" s="202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203"/>
      <c r="BG13" s="75" t="s">
        <v>143</v>
      </c>
      <c r="BH13" s="76" t="str">
        <f>IF(M7="","",M7)</f>
        <v/>
      </c>
      <c r="BI13" s="13"/>
    </row>
    <row r="14" spans="2:78" ht="21.95" customHeight="1" x14ac:dyDescent="0.15">
      <c r="B14" s="77"/>
      <c r="C14" s="70"/>
      <c r="D14" s="72"/>
      <c r="E14" s="72"/>
      <c r="F14" s="71"/>
      <c r="G14" s="156"/>
      <c r="H14" s="202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3"/>
      <c r="BG14" s="75" t="s">
        <v>144</v>
      </c>
      <c r="BH14" s="76" t="str">
        <f>IF(N7="","",N7)</f>
        <v/>
      </c>
      <c r="BI14" s="13"/>
    </row>
    <row r="15" spans="2:78" ht="21.95" customHeight="1" x14ac:dyDescent="0.15">
      <c r="B15" s="77"/>
      <c r="C15" s="70"/>
      <c r="D15" s="72"/>
      <c r="E15" s="72"/>
      <c r="F15" s="71"/>
      <c r="G15" s="156"/>
      <c r="H15" s="202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3"/>
      <c r="BG15" s="75" t="s">
        <v>145</v>
      </c>
      <c r="BH15" s="76" t="str">
        <f>IF(O7="","",O7)</f>
        <v/>
      </c>
      <c r="BI15" s="13"/>
    </row>
    <row r="16" spans="2:78" ht="21.95" customHeight="1" x14ac:dyDescent="0.15">
      <c r="B16" s="77"/>
      <c r="C16" s="70"/>
      <c r="D16" s="72"/>
      <c r="E16" s="72"/>
      <c r="F16" s="71"/>
      <c r="G16" s="156"/>
      <c r="H16" s="202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3"/>
      <c r="BG16" s="75" t="s">
        <v>146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2"/>
      <c r="F17" s="71"/>
      <c r="G17" s="156"/>
      <c r="H17" s="202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3"/>
      <c r="BG17" s="75" t="s">
        <v>147</v>
      </c>
      <c r="BH17" s="76" t="str">
        <f>IF(Q7="","",Q7)</f>
        <v/>
      </c>
      <c r="BI17" s="13"/>
    </row>
    <row r="18" spans="2:61" ht="21.95" customHeight="1" x14ac:dyDescent="0.15">
      <c r="B18" s="77"/>
      <c r="C18" s="81"/>
      <c r="D18" s="83"/>
      <c r="E18" s="83"/>
      <c r="F18" s="82"/>
      <c r="G18" s="156"/>
      <c r="H18" s="202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3"/>
      <c r="BG18" s="75" t="s">
        <v>148</v>
      </c>
      <c r="BH18" s="76" t="str">
        <f>IF(R7="","",R7)</f>
        <v/>
      </c>
      <c r="BI18" s="13"/>
    </row>
    <row r="19" spans="2:61" ht="21.95" customHeight="1" x14ac:dyDescent="0.15">
      <c r="B19" s="77"/>
      <c r="C19" s="84"/>
      <c r="D19" s="86"/>
      <c r="E19" s="86"/>
      <c r="F19" s="85"/>
      <c r="G19" s="156"/>
      <c r="H19" s="202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3"/>
      <c r="BG19" s="75" t="s">
        <v>149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2"/>
      <c r="F20" s="71"/>
      <c r="G20" s="156"/>
      <c r="H20" s="202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3"/>
      <c r="BG20" s="75" t="s">
        <v>150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2"/>
      <c r="F21" s="71"/>
      <c r="G21" s="156"/>
      <c r="H21" s="202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3"/>
      <c r="BG21" s="75" t="s">
        <v>151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2"/>
      <c r="F22" s="71"/>
      <c r="G22" s="156"/>
      <c r="H22" s="202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3"/>
      <c r="BG22" s="75" t="s">
        <v>152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2"/>
      <c r="F23" s="71"/>
      <c r="G23" s="156"/>
      <c r="H23" s="202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3"/>
      <c r="BG23" s="75" t="s">
        <v>153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2"/>
      <c r="F24" s="71"/>
      <c r="G24" s="156"/>
      <c r="H24" s="202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3"/>
      <c r="BG24" s="75" t="s">
        <v>154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2"/>
      <c r="F25" s="71"/>
      <c r="G25" s="156"/>
      <c r="H25" s="202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3"/>
      <c r="BG25" s="75" t="s">
        <v>155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2"/>
      <c r="F26" s="71"/>
      <c r="G26" s="156"/>
      <c r="H26" s="202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3"/>
      <c r="BG26" s="75" t="s">
        <v>156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2"/>
      <c r="F27" s="71"/>
      <c r="G27" s="156"/>
      <c r="H27" s="202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3"/>
      <c r="BG27" s="75" t="s">
        <v>157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2"/>
      <c r="F28" s="71"/>
      <c r="G28" s="156"/>
      <c r="H28" s="202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3"/>
      <c r="BG28" s="75" t="s">
        <v>158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2"/>
      <c r="F29" s="71"/>
      <c r="G29" s="156"/>
      <c r="H29" s="202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3"/>
      <c r="BG29" s="75" t="s">
        <v>159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2"/>
      <c r="F30" s="71"/>
      <c r="G30" s="156"/>
      <c r="H30" s="202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3"/>
      <c r="BG30" s="75" t="s">
        <v>160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2"/>
      <c r="F31" s="71"/>
      <c r="G31" s="156"/>
      <c r="H31" s="202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3"/>
      <c r="BG31" s="75" t="s">
        <v>161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2"/>
      <c r="F32" s="71"/>
      <c r="G32" s="156"/>
      <c r="H32" s="202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3"/>
      <c r="BG32" s="75" t="s">
        <v>162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2"/>
      <c r="F33" s="71"/>
      <c r="G33" s="156"/>
      <c r="H33" s="202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3"/>
      <c r="BG33" s="75" t="s">
        <v>163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2"/>
      <c r="F34" s="71"/>
      <c r="G34" s="156"/>
      <c r="H34" s="202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3"/>
      <c r="BG34" s="75" t="s">
        <v>164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2"/>
      <c r="F35" s="71"/>
      <c r="G35" s="156"/>
      <c r="H35" s="202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3"/>
      <c r="BG35" s="75" t="s">
        <v>165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2"/>
      <c r="F36" s="71"/>
      <c r="G36" s="156"/>
      <c r="H36" s="202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3"/>
      <c r="BG36" s="75" t="s">
        <v>166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2"/>
      <c r="F37" s="71"/>
      <c r="G37" s="156"/>
      <c r="H37" s="202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3"/>
      <c r="BG37" s="75" t="s">
        <v>167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2"/>
      <c r="F38" s="71"/>
      <c r="G38" s="156"/>
      <c r="H38" s="202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3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2"/>
      <c r="F39" s="71"/>
      <c r="G39" s="156"/>
      <c r="H39" s="202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3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2"/>
      <c r="F40" s="71"/>
      <c r="G40" s="156"/>
      <c r="H40" s="202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3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2"/>
      <c r="F41" s="71"/>
      <c r="G41" s="156"/>
      <c r="H41" s="202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3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2"/>
      <c r="F42" s="71"/>
      <c r="G42" s="156"/>
      <c r="H42" s="202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3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2"/>
      <c r="F43" s="71"/>
      <c r="G43" s="156"/>
      <c r="H43" s="202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3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2"/>
      <c r="F44" s="71"/>
      <c r="G44" s="156"/>
      <c r="H44" s="202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3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2"/>
      <c r="F45" s="71"/>
      <c r="G45" s="156"/>
      <c r="H45" s="202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3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2"/>
      <c r="F46" s="71"/>
      <c r="G46" s="156"/>
      <c r="H46" s="202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3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2"/>
      <c r="F47" s="71"/>
      <c r="G47" s="156"/>
      <c r="H47" s="202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3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2"/>
      <c r="F48" s="71"/>
      <c r="G48" s="156"/>
      <c r="H48" s="202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3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2"/>
      <c r="F49" s="71"/>
      <c r="G49" s="156"/>
      <c r="H49" s="202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3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2"/>
      <c r="F50" s="71"/>
      <c r="G50" s="156"/>
      <c r="H50" s="202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3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2"/>
      <c r="F51" s="71"/>
      <c r="G51" s="156"/>
      <c r="H51" s="202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3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2"/>
      <c r="F52" s="71"/>
      <c r="G52" s="156"/>
      <c r="H52" s="202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3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2"/>
      <c r="F53" s="71"/>
      <c r="G53" s="156"/>
      <c r="H53" s="202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3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2"/>
      <c r="F54" s="71"/>
      <c r="G54" s="156"/>
      <c r="H54" s="202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3"/>
      <c r="BG54" s="75"/>
      <c r="BH54" s="76" t="s">
        <v>168</v>
      </c>
      <c r="BI54" s="13"/>
    </row>
    <row r="55" spans="2:64" ht="21.95" hidden="1" customHeight="1" x14ac:dyDescent="0.15">
      <c r="B55" s="77" t="s">
        <v>179</v>
      </c>
      <c r="C55" s="70" t="s">
        <v>179</v>
      </c>
      <c r="D55" s="72" t="s">
        <v>179</v>
      </c>
      <c r="E55" s="72" t="s">
        <v>179</v>
      </c>
      <c r="F55" s="71"/>
      <c r="G55" s="156" t="s">
        <v>179</v>
      </c>
      <c r="H55" s="202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3"/>
      <c r="BG55" s="75" t="s">
        <v>138</v>
      </c>
      <c r="BH55" s="76"/>
      <c r="BI55" s="13"/>
    </row>
    <row r="56" spans="2:64" ht="21.95" hidden="1" customHeight="1" x14ac:dyDescent="0.15">
      <c r="B56" s="77" t="s">
        <v>179</v>
      </c>
      <c r="C56" s="70" t="s">
        <v>179</v>
      </c>
      <c r="D56" s="72" t="s">
        <v>179</v>
      </c>
      <c r="E56" s="72" t="s">
        <v>179</v>
      </c>
      <c r="F56" s="71"/>
      <c r="G56" s="156" t="s">
        <v>179</v>
      </c>
      <c r="H56" s="202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3"/>
      <c r="BG56" s="75" t="s">
        <v>139</v>
      </c>
      <c r="BH56" s="76"/>
      <c r="BI56" s="13"/>
    </row>
    <row r="57" spans="2:64" ht="21.95" hidden="1" customHeight="1" x14ac:dyDescent="0.15">
      <c r="B57" s="77" t="s">
        <v>179</v>
      </c>
      <c r="C57" s="70" t="s">
        <v>179</v>
      </c>
      <c r="D57" s="72" t="s">
        <v>179</v>
      </c>
      <c r="E57" s="72" t="s">
        <v>179</v>
      </c>
      <c r="F57" s="71"/>
      <c r="G57" s="156" t="s">
        <v>179</v>
      </c>
      <c r="H57" s="202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3"/>
      <c r="BG57" s="75" t="s">
        <v>140</v>
      </c>
      <c r="BH57" s="76"/>
      <c r="BI57" s="13"/>
    </row>
    <row r="58" spans="2:64" ht="21.95" customHeight="1" thickBot="1" x14ac:dyDescent="0.2">
      <c r="B58" s="87" t="s">
        <v>179</v>
      </c>
      <c r="C58" s="88" t="s">
        <v>179</v>
      </c>
      <c r="D58" s="157" t="s">
        <v>179</v>
      </c>
      <c r="E58" s="90" t="s">
        <v>179</v>
      </c>
      <c r="F58" s="89"/>
      <c r="G58" s="156" t="s">
        <v>179</v>
      </c>
      <c r="H58" s="206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  <c r="BD58" s="207"/>
      <c r="BE58" s="207"/>
      <c r="BF58" s="208"/>
      <c r="BG58" s="75" t="s">
        <v>141</v>
      </c>
      <c r="BH58" s="76"/>
      <c r="BI58" s="13"/>
    </row>
    <row r="59" spans="2:64" ht="21.95" customHeight="1" x14ac:dyDescent="0.15">
      <c r="B59" s="91"/>
      <c r="C59" s="92"/>
      <c r="D59" s="93"/>
      <c r="E59" s="94" t="s">
        <v>169</v>
      </c>
      <c r="F59" s="94"/>
      <c r="G59" s="95">
        <f>SUM(G8:G58)</f>
        <v>0</v>
      </c>
      <c r="H59" s="96" t="str">
        <f t="shared" ref="H59:AM59" si="0">IF(H7="","",SUM(H8:H58))</f>
        <v/>
      </c>
      <c r="I59" s="97" t="str">
        <f t="shared" si="0"/>
        <v/>
      </c>
      <c r="J59" s="97" t="str">
        <f t="shared" si="0"/>
        <v/>
      </c>
      <c r="K59" s="97" t="str">
        <f t="shared" si="0"/>
        <v/>
      </c>
      <c r="L59" s="97" t="str">
        <f t="shared" si="0"/>
        <v/>
      </c>
      <c r="M59" s="97" t="str">
        <f t="shared" si="0"/>
        <v/>
      </c>
      <c r="N59" s="97" t="str">
        <f t="shared" si="0"/>
        <v/>
      </c>
      <c r="O59" s="97" t="str">
        <f t="shared" si="0"/>
        <v/>
      </c>
      <c r="P59" s="97" t="str">
        <f t="shared" si="0"/>
        <v/>
      </c>
      <c r="Q59" s="97" t="str">
        <f t="shared" si="0"/>
        <v/>
      </c>
      <c r="R59" s="97" t="str">
        <f t="shared" si="0"/>
        <v/>
      </c>
      <c r="S59" s="97" t="str">
        <f t="shared" si="0"/>
        <v/>
      </c>
      <c r="T59" s="97" t="str">
        <f t="shared" si="0"/>
        <v/>
      </c>
      <c r="U59" s="97" t="str">
        <f t="shared" si="0"/>
        <v/>
      </c>
      <c r="V59" s="97" t="str">
        <f t="shared" si="0"/>
        <v/>
      </c>
      <c r="W59" s="97" t="str">
        <f t="shared" si="0"/>
        <v/>
      </c>
      <c r="X59" s="97" t="str">
        <f t="shared" si="0"/>
        <v/>
      </c>
      <c r="Y59" s="97" t="str">
        <f t="shared" si="0"/>
        <v/>
      </c>
      <c r="Z59" s="97" t="str">
        <f t="shared" si="0"/>
        <v/>
      </c>
      <c r="AA59" s="97" t="str">
        <f t="shared" si="0"/>
        <v/>
      </c>
      <c r="AB59" s="97" t="str">
        <f t="shared" si="0"/>
        <v/>
      </c>
      <c r="AC59" s="97" t="str">
        <f t="shared" si="0"/>
        <v/>
      </c>
      <c r="AD59" s="97" t="str">
        <f t="shared" si="0"/>
        <v/>
      </c>
      <c r="AE59" s="97" t="str">
        <f t="shared" si="0"/>
        <v/>
      </c>
      <c r="AF59" s="97" t="str">
        <f t="shared" si="0"/>
        <v/>
      </c>
      <c r="AG59" s="97" t="str">
        <f t="shared" si="0"/>
        <v/>
      </c>
      <c r="AH59" s="97" t="str">
        <f t="shared" si="0"/>
        <v/>
      </c>
      <c r="AI59" s="97" t="str">
        <f t="shared" si="0"/>
        <v/>
      </c>
      <c r="AJ59" s="97" t="str">
        <f t="shared" si="0"/>
        <v/>
      </c>
      <c r="AK59" s="97" t="str">
        <f t="shared" si="0"/>
        <v/>
      </c>
      <c r="AL59" s="97" t="str">
        <f t="shared" si="0"/>
        <v/>
      </c>
      <c r="AM59" s="97" t="str">
        <f t="shared" si="0"/>
        <v/>
      </c>
      <c r="AN59" s="97" t="str">
        <f t="shared" ref="AN59:BF59" si="1">IF(AN7="","",SUM(AN8:AN58))</f>
        <v/>
      </c>
      <c r="AO59" s="97" t="str">
        <f t="shared" si="1"/>
        <v/>
      </c>
      <c r="AP59" s="97" t="str">
        <f t="shared" si="1"/>
        <v/>
      </c>
      <c r="AQ59" s="97" t="str">
        <f t="shared" si="1"/>
        <v/>
      </c>
      <c r="AR59" s="97" t="str">
        <f t="shared" si="1"/>
        <v/>
      </c>
      <c r="AS59" s="97" t="str">
        <f t="shared" si="1"/>
        <v/>
      </c>
      <c r="AT59" s="97" t="str">
        <f t="shared" si="1"/>
        <v/>
      </c>
      <c r="AU59" s="97" t="str">
        <f t="shared" si="1"/>
        <v/>
      </c>
      <c r="AV59" s="97" t="str">
        <f t="shared" si="1"/>
        <v/>
      </c>
      <c r="AW59" s="97" t="str">
        <f t="shared" si="1"/>
        <v/>
      </c>
      <c r="AX59" s="97" t="str">
        <f t="shared" si="1"/>
        <v/>
      </c>
      <c r="AY59" s="97" t="str">
        <f t="shared" si="1"/>
        <v/>
      </c>
      <c r="AZ59" s="97" t="str">
        <f t="shared" si="1"/>
        <v/>
      </c>
      <c r="BA59" s="97" t="str">
        <f t="shared" si="1"/>
        <v/>
      </c>
      <c r="BB59" s="97" t="str">
        <f t="shared" si="1"/>
        <v/>
      </c>
      <c r="BC59" s="97" t="str">
        <f t="shared" si="1"/>
        <v/>
      </c>
      <c r="BD59" s="97" t="str">
        <f t="shared" si="1"/>
        <v/>
      </c>
      <c r="BE59" s="97" t="str">
        <f t="shared" si="1"/>
        <v/>
      </c>
      <c r="BF59" s="97">
        <f t="shared" si="1"/>
        <v>0</v>
      </c>
      <c r="BG59" s="75" t="s">
        <v>142</v>
      </c>
      <c r="BH59" s="76"/>
      <c r="BI59" s="13"/>
    </row>
    <row r="60" spans="2:64" ht="21.95" customHeight="1" x14ac:dyDescent="0.15">
      <c r="B60" s="98"/>
      <c r="C60" s="29"/>
      <c r="D60" s="99"/>
      <c r="E60" s="100" t="s">
        <v>170</v>
      </c>
      <c r="F60" s="212"/>
      <c r="G60" s="101" t="e">
        <f>SUM(H60:BF60)</f>
        <v>#DIV/0!</v>
      </c>
      <c r="H60" s="102">
        <f t="shared" ref="H60:AM60" si="2">IF(H7="",0,H59/$G$59)</f>
        <v>0</v>
      </c>
      <c r="I60" s="102">
        <f t="shared" si="2"/>
        <v>0</v>
      </c>
      <c r="J60" s="102">
        <f t="shared" si="2"/>
        <v>0</v>
      </c>
      <c r="K60" s="102">
        <f t="shared" si="2"/>
        <v>0</v>
      </c>
      <c r="L60" s="102">
        <f t="shared" si="2"/>
        <v>0</v>
      </c>
      <c r="M60" s="102">
        <f t="shared" si="2"/>
        <v>0</v>
      </c>
      <c r="N60" s="102">
        <f t="shared" si="2"/>
        <v>0</v>
      </c>
      <c r="O60" s="102">
        <f t="shared" si="2"/>
        <v>0</v>
      </c>
      <c r="P60" s="102">
        <f t="shared" si="2"/>
        <v>0</v>
      </c>
      <c r="Q60" s="102">
        <f t="shared" si="2"/>
        <v>0</v>
      </c>
      <c r="R60" s="102">
        <f t="shared" si="2"/>
        <v>0</v>
      </c>
      <c r="S60" s="102">
        <f t="shared" si="2"/>
        <v>0</v>
      </c>
      <c r="T60" s="102">
        <f t="shared" si="2"/>
        <v>0</v>
      </c>
      <c r="U60" s="102">
        <f t="shared" si="2"/>
        <v>0</v>
      </c>
      <c r="V60" s="102">
        <f t="shared" si="2"/>
        <v>0</v>
      </c>
      <c r="W60" s="102">
        <f t="shared" si="2"/>
        <v>0</v>
      </c>
      <c r="X60" s="102">
        <f t="shared" si="2"/>
        <v>0</v>
      </c>
      <c r="Y60" s="102">
        <f t="shared" si="2"/>
        <v>0</v>
      </c>
      <c r="Z60" s="102">
        <f t="shared" si="2"/>
        <v>0</v>
      </c>
      <c r="AA60" s="102">
        <f t="shared" si="2"/>
        <v>0</v>
      </c>
      <c r="AB60" s="102">
        <f t="shared" si="2"/>
        <v>0</v>
      </c>
      <c r="AC60" s="102">
        <f t="shared" si="2"/>
        <v>0</v>
      </c>
      <c r="AD60" s="102">
        <f t="shared" si="2"/>
        <v>0</v>
      </c>
      <c r="AE60" s="102">
        <f t="shared" si="2"/>
        <v>0</v>
      </c>
      <c r="AF60" s="102">
        <f t="shared" si="2"/>
        <v>0</v>
      </c>
      <c r="AG60" s="102">
        <f t="shared" si="2"/>
        <v>0</v>
      </c>
      <c r="AH60" s="102">
        <f t="shared" si="2"/>
        <v>0</v>
      </c>
      <c r="AI60" s="102">
        <f t="shared" si="2"/>
        <v>0</v>
      </c>
      <c r="AJ60" s="102">
        <f t="shared" si="2"/>
        <v>0</v>
      </c>
      <c r="AK60" s="102">
        <f t="shared" si="2"/>
        <v>0</v>
      </c>
      <c r="AL60" s="102">
        <f t="shared" si="2"/>
        <v>0</v>
      </c>
      <c r="AM60" s="102">
        <f t="shared" si="2"/>
        <v>0</v>
      </c>
      <c r="AN60" s="102">
        <f t="shared" ref="AN60:BF60" si="3">IF(AN7="",0,AN59/$G$59)</f>
        <v>0</v>
      </c>
      <c r="AO60" s="102">
        <f t="shared" si="3"/>
        <v>0</v>
      </c>
      <c r="AP60" s="102">
        <f t="shared" si="3"/>
        <v>0</v>
      </c>
      <c r="AQ60" s="102">
        <f t="shared" si="3"/>
        <v>0</v>
      </c>
      <c r="AR60" s="102">
        <f t="shared" si="3"/>
        <v>0</v>
      </c>
      <c r="AS60" s="102">
        <f t="shared" si="3"/>
        <v>0</v>
      </c>
      <c r="AT60" s="102">
        <f t="shared" si="3"/>
        <v>0</v>
      </c>
      <c r="AU60" s="102">
        <f t="shared" si="3"/>
        <v>0</v>
      </c>
      <c r="AV60" s="102">
        <f t="shared" si="3"/>
        <v>0</v>
      </c>
      <c r="AW60" s="102">
        <f t="shared" si="3"/>
        <v>0</v>
      </c>
      <c r="AX60" s="102">
        <f t="shared" si="3"/>
        <v>0</v>
      </c>
      <c r="AY60" s="102">
        <f t="shared" si="3"/>
        <v>0</v>
      </c>
      <c r="AZ60" s="102">
        <f t="shared" si="3"/>
        <v>0</v>
      </c>
      <c r="BA60" s="102">
        <f t="shared" si="3"/>
        <v>0</v>
      </c>
      <c r="BB60" s="102">
        <f t="shared" si="3"/>
        <v>0</v>
      </c>
      <c r="BC60" s="102">
        <f t="shared" si="3"/>
        <v>0</v>
      </c>
      <c r="BD60" s="102">
        <f t="shared" si="3"/>
        <v>0</v>
      </c>
      <c r="BE60" s="102">
        <f t="shared" si="3"/>
        <v>0</v>
      </c>
      <c r="BF60" s="102" t="e">
        <f t="shared" si="3"/>
        <v>#DIV/0!</v>
      </c>
      <c r="BG60" s="75" t="s">
        <v>143</v>
      </c>
      <c r="BH60" s="76"/>
      <c r="BI60" s="13"/>
    </row>
    <row r="61" spans="2:64" ht="21.95" customHeight="1" thickBot="1" x14ac:dyDescent="0.2">
      <c r="B61" s="103"/>
      <c r="C61" s="35"/>
      <c r="D61" s="104"/>
      <c r="E61" s="35" t="s">
        <v>171</v>
      </c>
      <c r="F61" s="35"/>
      <c r="G61" s="105"/>
      <c r="H61" s="106">
        <v>1</v>
      </c>
      <c r="I61" s="107">
        <v>2</v>
      </c>
      <c r="J61" s="107">
        <v>3</v>
      </c>
      <c r="K61" s="107">
        <v>4</v>
      </c>
      <c r="L61" s="108">
        <v>5</v>
      </c>
      <c r="M61" s="108">
        <v>6</v>
      </c>
      <c r="N61" s="108">
        <v>7</v>
      </c>
      <c r="O61" s="108">
        <v>8</v>
      </c>
      <c r="P61" s="108">
        <v>9</v>
      </c>
      <c r="Q61" s="108">
        <v>10</v>
      </c>
      <c r="R61" s="108">
        <v>11</v>
      </c>
      <c r="S61" s="108">
        <v>12</v>
      </c>
      <c r="T61" s="108">
        <v>13</v>
      </c>
      <c r="U61" s="108">
        <v>14</v>
      </c>
      <c r="V61" s="108">
        <v>15</v>
      </c>
      <c r="W61" s="108">
        <v>16</v>
      </c>
      <c r="X61" s="108">
        <v>17</v>
      </c>
      <c r="Y61" s="108">
        <v>18</v>
      </c>
      <c r="Z61" s="108">
        <v>19</v>
      </c>
      <c r="AA61" s="108">
        <v>20</v>
      </c>
      <c r="AB61" s="108">
        <v>21</v>
      </c>
      <c r="AC61" s="108">
        <v>22</v>
      </c>
      <c r="AD61" s="108">
        <v>23</v>
      </c>
      <c r="AE61" s="108">
        <v>24</v>
      </c>
      <c r="AF61" s="108">
        <v>25</v>
      </c>
      <c r="AG61" s="108">
        <v>26</v>
      </c>
      <c r="AH61" s="108">
        <v>27</v>
      </c>
      <c r="AI61" s="108">
        <v>28</v>
      </c>
      <c r="AJ61" s="108">
        <v>29</v>
      </c>
      <c r="AK61" s="108">
        <v>30</v>
      </c>
      <c r="AL61" s="108">
        <v>31</v>
      </c>
      <c r="AM61" s="108">
        <v>32</v>
      </c>
      <c r="AN61" s="108">
        <v>33</v>
      </c>
      <c r="AO61" s="108">
        <v>34</v>
      </c>
      <c r="AP61" s="108">
        <v>35</v>
      </c>
      <c r="AQ61" s="108">
        <v>36</v>
      </c>
      <c r="AR61" s="108">
        <v>37</v>
      </c>
      <c r="AS61" s="108">
        <v>38</v>
      </c>
      <c r="AT61" s="108">
        <v>39</v>
      </c>
      <c r="AU61" s="108">
        <v>40</v>
      </c>
      <c r="AV61" s="108">
        <v>41</v>
      </c>
      <c r="AW61" s="108">
        <v>42</v>
      </c>
      <c r="AX61" s="108">
        <v>43</v>
      </c>
      <c r="AY61" s="108">
        <v>44</v>
      </c>
      <c r="AZ61" s="108">
        <v>45</v>
      </c>
      <c r="BA61" s="108">
        <v>46</v>
      </c>
      <c r="BB61" s="108">
        <v>47</v>
      </c>
      <c r="BC61" s="108">
        <v>48</v>
      </c>
      <c r="BD61" s="108">
        <v>49</v>
      </c>
      <c r="BE61" s="108">
        <v>50</v>
      </c>
      <c r="BF61" s="108">
        <v>51</v>
      </c>
      <c r="BG61" s="109"/>
      <c r="BH61" s="110"/>
      <c r="BI61" s="13"/>
      <c r="BJ61" s="13"/>
      <c r="BK61" s="13"/>
      <c r="BL61" s="13"/>
    </row>
    <row r="62" spans="2:64" ht="14.25" thickBot="1" x14ac:dyDescent="0.2">
      <c r="D62" s="111"/>
      <c r="E62" s="112"/>
      <c r="F62" s="111"/>
      <c r="BH62" s="13"/>
      <c r="BI62" s="13"/>
    </row>
    <row r="63" spans="2:64" ht="20.100000000000001" customHeight="1" x14ac:dyDescent="0.15">
      <c r="D63" s="20"/>
      <c r="E63" s="91" t="s">
        <v>172</v>
      </c>
      <c r="F63" s="113"/>
      <c r="G63" s="113"/>
      <c r="H63" s="91" t="s">
        <v>173</v>
      </c>
      <c r="I63" s="113"/>
      <c r="J63" s="113"/>
      <c r="K63" s="113"/>
      <c r="L63" s="113"/>
      <c r="M63" s="114"/>
      <c r="N63" s="115"/>
      <c r="O63" s="29"/>
      <c r="R63" s="116" t="s">
        <v>204</v>
      </c>
      <c r="S63" s="226">
        <f ca="1">TODAY()</f>
        <v>45106</v>
      </c>
      <c r="T63" s="226"/>
      <c r="U63" s="117"/>
      <c r="V63" s="117"/>
      <c r="W63" s="117"/>
      <c r="X63" s="117"/>
      <c r="Y63" s="117"/>
      <c r="Z63" s="117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H63" s="13"/>
      <c r="BI63" s="13"/>
    </row>
    <row r="64" spans="2:64" ht="20.100000000000001" customHeight="1" thickBot="1" x14ac:dyDescent="0.25">
      <c r="C64" s="119"/>
      <c r="E64" s="120"/>
      <c r="F64" s="127"/>
      <c r="G64" s="121"/>
      <c r="H64" s="122"/>
      <c r="I64" s="121"/>
      <c r="J64" s="35"/>
      <c r="K64" s="123"/>
      <c r="L64" s="123"/>
      <c r="M64" s="124"/>
      <c r="N64" s="115"/>
      <c r="O64" s="29"/>
      <c r="R64" s="29" t="s">
        <v>205</v>
      </c>
      <c r="S64" s="29"/>
      <c r="T64" s="125"/>
      <c r="U64" s="126"/>
      <c r="V64" s="127"/>
      <c r="W64" s="127" t="s">
        <v>174</v>
      </c>
      <c r="X64" s="128"/>
      <c r="Y64" s="128"/>
      <c r="Z64" s="128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I64" s="13"/>
    </row>
    <row r="65" spans="3:61" ht="20.100000000000001" customHeight="1" thickBot="1" x14ac:dyDescent="0.2">
      <c r="C65" s="130"/>
      <c r="E65" s="122" t="s">
        <v>175</v>
      </c>
      <c r="F65" s="35"/>
      <c r="G65" s="121"/>
      <c r="H65" s="122" t="s">
        <v>176</v>
      </c>
      <c r="I65" s="121"/>
      <c r="J65" s="35"/>
      <c r="K65" s="131" t="s">
        <v>177</v>
      </c>
      <c r="L65" s="121"/>
      <c r="M65" s="132"/>
      <c r="N65" s="98"/>
      <c r="O65" s="19"/>
      <c r="R65" s="117"/>
      <c r="S65" s="117"/>
      <c r="T65" s="117"/>
      <c r="U65" s="117"/>
      <c r="V65" s="117"/>
      <c r="W65" s="117"/>
      <c r="X65" s="117"/>
      <c r="Y65" s="117"/>
      <c r="Z65" s="117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I65" s="13"/>
    </row>
    <row r="66" spans="3:61" ht="15" thickBot="1" x14ac:dyDescent="0.2">
      <c r="E66" s="133" t="s">
        <v>185</v>
      </c>
      <c r="F66" s="213"/>
      <c r="G66" s="134"/>
      <c r="H66" s="135"/>
      <c r="I66" s="136"/>
      <c r="J66" s="136"/>
      <c r="K66" s="136"/>
      <c r="L66" s="136"/>
      <c r="M66" s="134"/>
      <c r="BI66" s="13"/>
    </row>
    <row r="67" spans="3:61" ht="15" thickBot="1" x14ac:dyDescent="0.2">
      <c r="E67" s="137" t="s">
        <v>178</v>
      </c>
      <c r="F67" s="214"/>
      <c r="G67" s="134"/>
      <c r="H67" s="135"/>
      <c r="I67" s="136"/>
      <c r="J67" s="136"/>
      <c r="K67" s="136"/>
      <c r="L67" s="136"/>
      <c r="M67" s="134"/>
      <c r="BI67" s="13"/>
    </row>
    <row r="68" spans="3:61" ht="15" thickBot="1" x14ac:dyDescent="0.2">
      <c r="E68" s="138" t="s">
        <v>2</v>
      </c>
      <c r="F68" s="215"/>
      <c r="G68" s="134"/>
      <c r="H68" s="135"/>
      <c r="I68" s="136"/>
      <c r="J68" s="136"/>
      <c r="K68" s="136"/>
      <c r="L68" s="136"/>
      <c r="M68" s="134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39">
        <v>97</v>
      </c>
    </row>
    <row r="121" spans="66:66" x14ac:dyDescent="0.15">
      <c r="BN121" s="139">
        <v>45</v>
      </c>
    </row>
    <row r="122" spans="66:66" x14ac:dyDescent="0.15">
      <c r="BN122" s="139">
        <v>34</v>
      </c>
    </row>
    <row r="123" spans="66:66" x14ac:dyDescent="0.15">
      <c r="BN123" s="139">
        <v>0</v>
      </c>
    </row>
    <row r="124" spans="66:66" x14ac:dyDescent="0.15">
      <c r="BN124" s="139">
        <v>0</v>
      </c>
    </row>
    <row r="125" spans="66:66" x14ac:dyDescent="0.15">
      <c r="BN125" s="139">
        <v>0</v>
      </c>
    </row>
    <row r="126" spans="66:66" x14ac:dyDescent="0.15">
      <c r="BN126" s="139">
        <v>0</v>
      </c>
    </row>
    <row r="127" spans="66:66" x14ac:dyDescent="0.15">
      <c r="BN127" s="139">
        <v>0</v>
      </c>
    </row>
    <row r="128" spans="66:66" x14ac:dyDescent="0.15">
      <c r="BN128" s="139">
        <v>0</v>
      </c>
    </row>
    <row r="129" spans="66:66" x14ac:dyDescent="0.15">
      <c r="BN129" s="139">
        <v>0</v>
      </c>
    </row>
    <row r="130" spans="66:66" x14ac:dyDescent="0.15">
      <c r="BN130" s="139">
        <v>0</v>
      </c>
    </row>
    <row r="131" spans="66:66" x14ac:dyDescent="0.15">
      <c r="BN131" s="139">
        <v>0</v>
      </c>
    </row>
    <row r="132" spans="66:66" x14ac:dyDescent="0.15">
      <c r="BN132" s="139">
        <v>0</v>
      </c>
    </row>
    <row r="133" spans="66:66" x14ac:dyDescent="0.15">
      <c r="BN133" s="139">
        <v>0</v>
      </c>
    </row>
    <row r="134" spans="66:66" x14ac:dyDescent="0.15">
      <c r="BN134" s="139">
        <v>0</v>
      </c>
    </row>
    <row r="135" spans="66:66" x14ac:dyDescent="0.15">
      <c r="BN135" s="139">
        <v>0</v>
      </c>
    </row>
    <row r="136" spans="66:66" x14ac:dyDescent="0.15">
      <c r="BN136" s="139">
        <v>0</v>
      </c>
    </row>
    <row r="137" spans="66:66" x14ac:dyDescent="0.15">
      <c r="BN137" s="139">
        <v>0</v>
      </c>
    </row>
    <row r="138" spans="66:66" x14ac:dyDescent="0.15">
      <c r="BN138" s="139">
        <v>0</v>
      </c>
    </row>
    <row r="139" spans="66:66" x14ac:dyDescent="0.15">
      <c r="BN139" s="139">
        <v>0</v>
      </c>
    </row>
    <row r="140" spans="66:66" x14ac:dyDescent="0.15">
      <c r="BN140" s="139">
        <v>0</v>
      </c>
    </row>
    <row r="141" spans="66:66" x14ac:dyDescent="0.15">
      <c r="BN141" s="139">
        <v>0</v>
      </c>
    </row>
    <row r="142" spans="66:66" x14ac:dyDescent="0.15">
      <c r="BN142" s="139">
        <v>0</v>
      </c>
    </row>
    <row r="143" spans="66:66" x14ac:dyDescent="0.15">
      <c r="BN143" s="139">
        <v>0</v>
      </c>
    </row>
    <row r="144" spans="66:66" x14ac:dyDescent="0.15">
      <c r="BN144" s="139">
        <v>0</v>
      </c>
    </row>
    <row r="145" spans="66:66" x14ac:dyDescent="0.15">
      <c r="BN145" s="139">
        <v>0</v>
      </c>
    </row>
    <row r="146" spans="66:66" x14ac:dyDescent="0.15">
      <c r="BN146" s="139">
        <v>0</v>
      </c>
    </row>
    <row r="147" spans="66:66" x14ac:dyDescent="0.15">
      <c r="BN147" s="139">
        <v>0</v>
      </c>
    </row>
    <row r="148" spans="66:66" x14ac:dyDescent="0.15">
      <c r="BN148" s="139">
        <v>0</v>
      </c>
    </row>
    <row r="149" spans="66:66" x14ac:dyDescent="0.15">
      <c r="BN149" s="139">
        <v>0</v>
      </c>
    </row>
    <row r="150" spans="66:66" x14ac:dyDescent="0.15">
      <c r="BN150" s="139">
        <v>0</v>
      </c>
    </row>
    <row r="151" spans="66:66" x14ac:dyDescent="0.15">
      <c r="BN151" s="139">
        <v>0</v>
      </c>
    </row>
    <row r="152" spans="66:66" x14ac:dyDescent="0.15">
      <c r="BN152" s="139">
        <v>0</v>
      </c>
    </row>
    <row r="153" spans="66:66" x14ac:dyDescent="0.15">
      <c r="BN153" s="139">
        <v>0</v>
      </c>
    </row>
    <row r="154" spans="66:66" x14ac:dyDescent="0.15">
      <c r="BN154" s="139">
        <v>0</v>
      </c>
    </row>
    <row r="155" spans="66:66" x14ac:dyDescent="0.15">
      <c r="BN155" s="139">
        <v>0</v>
      </c>
    </row>
    <row r="156" spans="66:66" x14ac:dyDescent="0.15">
      <c r="BN156" s="139">
        <v>0</v>
      </c>
    </row>
    <row r="157" spans="66:66" x14ac:dyDescent="0.15">
      <c r="BN157" s="139">
        <v>0</v>
      </c>
    </row>
    <row r="158" spans="66:66" x14ac:dyDescent="0.15">
      <c r="BN158" s="139">
        <v>0</v>
      </c>
    </row>
    <row r="159" spans="66:66" x14ac:dyDescent="0.15">
      <c r="BN159" s="139">
        <v>0</v>
      </c>
    </row>
    <row r="160" spans="66:66" x14ac:dyDescent="0.15">
      <c r="BN160" s="139">
        <v>0</v>
      </c>
    </row>
    <row r="161" spans="66:66" x14ac:dyDescent="0.15">
      <c r="BN161" s="139">
        <v>0</v>
      </c>
    </row>
    <row r="266" spans="8:15" x14ac:dyDescent="0.15">
      <c r="H266" t="s">
        <v>179</v>
      </c>
      <c r="I266" t="s">
        <v>179</v>
      </c>
      <c r="J266" t="s">
        <v>179</v>
      </c>
      <c r="K266" t="s">
        <v>179</v>
      </c>
      <c r="L266" t="s">
        <v>179</v>
      </c>
      <c r="M266" t="s">
        <v>179</v>
      </c>
      <c r="N266" t="s">
        <v>179</v>
      </c>
      <c r="O266" t="s">
        <v>179</v>
      </c>
    </row>
    <row r="1000" spans="8:80" x14ac:dyDescent="0.15"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1"/>
      <c r="AB1000" s="141"/>
      <c r="AC1000" s="141"/>
      <c r="AD1000" s="141"/>
      <c r="AE1000" s="141"/>
      <c r="AF1000" s="141"/>
      <c r="AG1000" s="141"/>
      <c r="AH1000" s="141"/>
      <c r="AI1000" s="141"/>
      <c r="AJ1000" s="141"/>
      <c r="AK1000" s="141"/>
      <c r="AL1000" s="141"/>
      <c r="AM1000" s="141"/>
      <c r="AN1000" s="141"/>
      <c r="AO1000" s="141"/>
      <c r="AP1000" s="141"/>
      <c r="AQ1000" s="141"/>
      <c r="AR1000" s="141"/>
      <c r="AS1000" s="141"/>
      <c r="AT1000" s="141"/>
      <c r="AU1000" s="141"/>
      <c r="AV1000" s="141"/>
      <c r="AW1000" s="141"/>
      <c r="AX1000" s="141"/>
      <c r="AY1000" s="141"/>
      <c r="AZ1000" s="141"/>
      <c r="BA1000" s="141"/>
      <c r="BB1000" s="141"/>
      <c r="BC1000" s="141"/>
      <c r="BD1000" s="141"/>
      <c r="BE1000" s="141"/>
      <c r="BF1000" s="140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42">
        <f t="shared" ref="CB1000:CB1029" si="4">SUM(I1000:CA1000)</f>
        <v>0</v>
      </c>
    </row>
    <row r="1001" spans="8:80" x14ac:dyDescent="0.15">
      <c r="H1001" s="140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1"/>
      <c r="AB1001" s="141"/>
      <c r="AC1001" s="141"/>
      <c r="AD1001" s="141"/>
      <c r="AE1001" s="141"/>
      <c r="AF1001" s="141"/>
      <c r="AG1001" s="141"/>
      <c r="AH1001" s="141"/>
      <c r="AI1001" s="141"/>
      <c r="AJ1001" s="141"/>
      <c r="AK1001" s="141"/>
      <c r="AL1001" s="141"/>
      <c r="AM1001" s="141"/>
      <c r="AN1001" s="141"/>
      <c r="AO1001" s="141"/>
      <c r="AP1001" s="141"/>
      <c r="AQ1001" s="141"/>
      <c r="AR1001" s="141"/>
      <c r="AS1001" s="141"/>
      <c r="AT1001" s="141"/>
      <c r="AU1001" s="141"/>
      <c r="AV1001" s="141"/>
      <c r="AW1001" s="141"/>
      <c r="AX1001" s="141"/>
      <c r="AY1001" s="141"/>
      <c r="AZ1001" s="141"/>
      <c r="BA1001" s="141"/>
      <c r="BB1001" s="141"/>
      <c r="BC1001" s="141"/>
      <c r="BD1001" s="141"/>
      <c r="BE1001" s="141"/>
      <c r="BF1001" s="140"/>
      <c r="BG1001" s="139"/>
      <c r="BH1001" s="139"/>
      <c r="BI1001" s="139"/>
      <c r="BJ1001" s="139"/>
      <c r="BK1001" s="139"/>
      <c r="BL1001" s="139"/>
      <c r="BM1001" s="139"/>
      <c r="BN1001" s="139"/>
      <c r="BO1001" s="139"/>
      <c r="BP1001" s="139"/>
      <c r="BQ1001" s="139"/>
      <c r="BR1001" s="139"/>
      <c r="BS1001" s="139"/>
      <c r="BT1001" s="139"/>
      <c r="BU1001" s="139"/>
      <c r="BV1001" s="139"/>
      <c r="BW1001" s="139"/>
      <c r="BX1001" s="139"/>
      <c r="BY1001" s="139"/>
      <c r="BZ1001" s="139"/>
      <c r="CA1001" s="139"/>
      <c r="CB1001" s="142">
        <f t="shared" si="4"/>
        <v>0</v>
      </c>
    </row>
    <row r="1002" spans="8:80" x14ac:dyDescent="0.15">
      <c r="H1002" s="140"/>
      <c r="I1002" s="140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1"/>
      <c r="AB1002" s="141"/>
      <c r="AC1002" s="141"/>
      <c r="AD1002" s="141"/>
      <c r="AE1002" s="141"/>
      <c r="AF1002" s="141"/>
      <c r="AG1002" s="141"/>
      <c r="AH1002" s="141"/>
      <c r="AI1002" s="141"/>
      <c r="AJ1002" s="141"/>
      <c r="AK1002" s="141"/>
      <c r="AL1002" s="141"/>
      <c r="AM1002" s="141"/>
      <c r="AN1002" s="141"/>
      <c r="AO1002" s="141"/>
      <c r="AP1002" s="141"/>
      <c r="AQ1002" s="141"/>
      <c r="AR1002" s="141"/>
      <c r="AS1002" s="141"/>
      <c r="AT1002" s="141"/>
      <c r="AU1002" s="141"/>
      <c r="AV1002" s="141"/>
      <c r="AW1002" s="141"/>
      <c r="AX1002" s="141"/>
      <c r="AY1002" s="141"/>
      <c r="AZ1002" s="141"/>
      <c r="BA1002" s="141"/>
      <c r="BB1002" s="141"/>
      <c r="BC1002" s="141"/>
      <c r="BD1002" s="141"/>
      <c r="BE1002" s="141"/>
      <c r="BF1002" s="140"/>
      <c r="BG1002" s="139"/>
      <c r="BH1002" s="139"/>
      <c r="BI1002" s="139"/>
      <c r="BJ1002" s="139"/>
      <c r="BK1002" s="139"/>
      <c r="BL1002" s="139"/>
      <c r="BM1002" s="139"/>
      <c r="BN1002" s="139"/>
      <c r="BO1002" s="139"/>
      <c r="BP1002" s="139"/>
      <c r="BQ1002" s="139"/>
      <c r="BR1002" s="139"/>
      <c r="BS1002" s="139"/>
      <c r="BT1002" s="139"/>
      <c r="BU1002" s="139"/>
      <c r="BV1002" s="139"/>
      <c r="BW1002" s="139"/>
      <c r="BX1002" s="139"/>
      <c r="BY1002" s="139"/>
      <c r="BZ1002" s="139"/>
      <c r="CA1002" s="139"/>
      <c r="CB1002" s="142">
        <f t="shared" si="4"/>
        <v>0</v>
      </c>
    </row>
    <row r="1003" spans="8:80" x14ac:dyDescent="0.15">
      <c r="H1003" s="140"/>
      <c r="I1003" s="140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1"/>
      <c r="AB1003" s="141"/>
      <c r="AC1003" s="141"/>
      <c r="AD1003" s="141"/>
      <c r="AE1003" s="141"/>
      <c r="AF1003" s="141"/>
      <c r="AG1003" s="141"/>
      <c r="AH1003" s="141"/>
      <c r="AI1003" s="141"/>
      <c r="AJ1003" s="141"/>
      <c r="AK1003" s="141"/>
      <c r="AL1003" s="141"/>
      <c r="AM1003" s="141"/>
      <c r="AN1003" s="141"/>
      <c r="AO1003" s="141"/>
      <c r="AP1003" s="141"/>
      <c r="AQ1003" s="141"/>
      <c r="AR1003" s="141"/>
      <c r="AS1003" s="141"/>
      <c r="AT1003" s="141"/>
      <c r="AU1003" s="141"/>
      <c r="AV1003" s="141"/>
      <c r="AW1003" s="141"/>
      <c r="AX1003" s="141"/>
      <c r="AY1003" s="141"/>
      <c r="AZ1003" s="141"/>
      <c r="BA1003" s="141"/>
      <c r="BB1003" s="141"/>
      <c r="BC1003" s="141"/>
      <c r="BD1003" s="141"/>
      <c r="BE1003" s="141"/>
      <c r="BF1003" s="140"/>
      <c r="BG1003" s="139"/>
      <c r="BH1003" s="139"/>
      <c r="BI1003" s="139"/>
      <c r="BJ1003" s="139"/>
      <c r="BK1003" s="139"/>
      <c r="BL1003" s="139"/>
      <c r="BM1003" s="139"/>
      <c r="BN1003" s="139"/>
      <c r="BO1003" s="139"/>
      <c r="BP1003" s="139"/>
      <c r="BQ1003" s="139"/>
      <c r="BR1003" s="139"/>
      <c r="BS1003" s="139"/>
      <c r="BT1003" s="139"/>
      <c r="BU1003" s="139"/>
      <c r="BV1003" s="139"/>
      <c r="BW1003" s="139"/>
      <c r="BX1003" s="139"/>
      <c r="BY1003" s="139"/>
      <c r="BZ1003" s="139"/>
      <c r="CA1003" s="139"/>
      <c r="CB1003" s="142">
        <f t="shared" si="4"/>
        <v>0</v>
      </c>
    </row>
    <row r="1004" spans="8:80" x14ac:dyDescent="0.15">
      <c r="H1004" s="140"/>
      <c r="I1004" s="140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1"/>
      <c r="AB1004" s="141"/>
      <c r="AC1004" s="141"/>
      <c r="AD1004" s="141"/>
      <c r="AE1004" s="141"/>
      <c r="AF1004" s="141"/>
      <c r="AG1004" s="141"/>
      <c r="AH1004" s="141"/>
      <c r="AI1004" s="141"/>
      <c r="AJ1004" s="141"/>
      <c r="AK1004" s="141"/>
      <c r="AL1004" s="141"/>
      <c r="AM1004" s="141"/>
      <c r="AN1004" s="141"/>
      <c r="AO1004" s="141"/>
      <c r="AP1004" s="141"/>
      <c r="AQ1004" s="141"/>
      <c r="AR1004" s="141"/>
      <c r="AS1004" s="141"/>
      <c r="AT1004" s="141"/>
      <c r="AU1004" s="141"/>
      <c r="AV1004" s="141"/>
      <c r="AW1004" s="141"/>
      <c r="AX1004" s="141"/>
      <c r="AY1004" s="141"/>
      <c r="AZ1004" s="141"/>
      <c r="BA1004" s="141"/>
      <c r="BB1004" s="141"/>
      <c r="BC1004" s="141"/>
      <c r="BD1004" s="141"/>
      <c r="BE1004" s="141"/>
      <c r="BF1004" s="140"/>
      <c r="BG1004" s="139"/>
      <c r="BH1004" s="139"/>
      <c r="BI1004" s="139"/>
      <c r="BJ1004" s="139"/>
      <c r="BK1004" s="139"/>
      <c r="BL1004" s="139"/>
      <c r="BM1004" s="139"/>
      <c r="BN1004" s="139"/>
      <c r="BO1004" s="139"/>
      <c r="BP1004" s="139"/>
      <c r="BQ1004" s="139"/>
      <c r="BR1004" s="139"/>
      <c r="BS1004" s="139"/>
      <c r="BT1004" s="139"/>
      <c r="BU1004" s="139"/>
      <c r="BV1004" s="139"/>
      <c r="BW1004" s="139"/>
      <c r="BX1004" s="139"/>
      <c r="BY1004" s="139"/>
      <c r="BZ1004" s="139"/>
      <c r="CA1004" s="139"/>
      <c r="CB1004" s="142">
        <f t="shared" si="4"/>
        <v>0</v>
      </c>
    </row>
    <row r="1005" spans="8:80" x14ac:dyDescent="0.15"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0"/>
      <c r="AA1005" s="141"/>
      <c r="AB1005" s="141"/>
      <c r="AC1005" s="141"/>
      <c r="AD1005" s="141"/>
      <c r="AE1005" s="141"/>
      <c r="AF1005" s="141"/>
      <c r="AG1005" s="141"/>
      <c r="AH1005" s="141"/>
      <c r="AI1005" s="141"/>
      <c r="AJ1005" s="141"/>
      <c r="AK1005" s="141"/>
      <c r="AL1005" s="141"/>
      <c r="AM1005" s="141"/>
      <c r="AN1005" s="141"/>
      <c r="AO1005" s="141"/>
      <c r="AP1005" s="141"/>
      <c r="AQ1005" s="141"/>
      <c r="AR1005" s="141"/>
      <c r="AS1005" s="141"/>
      <c r="AT1005" s="141"/>
      <c r="AU1005" s="141"/>
      <c r="AV1005" s="141"/>
      <c r="AW1005" s="141"/>
      <c r="AX1005" s="141"/>
      <c r="AY1005" s="141"/>
      <c r="AZ1005" s="141"/>
      <c r="BA1005" s="141"/>
      <c r="BB1005" s="141"/>
      <c r="BC1005" s="141"/>
      <c r="BD1005" s="141"/>
      <c r="BE1005" s="141"/>
      <c r="BF1005" s="140"/>
      <c r="BG1005" s="139"/>
      <c r="BH1005" s="139"/>
      <c r="BI1005" s="139"/>
      <c r="BJ1005" s="139"/>
      <c r="BK1005" s="139"/>
      <c r="BL1005" s="139"/>
      <c r="BM1005" s="139"/>
      <c r="BN1005" s="139"/>
      <c r="BO1005" s="139"/>
      <c r="BP1005" s="139"/>
      <c r="BQ1005" s="139"/>
      <c r="BR1005" s="139"/>
      <c r="BS1005" s="139"/>
      <c r="BT1005" s="139"/>
      <c r="BU1005" s="139"/>
      <c r="BV1005" s="139"/>
      <c r="BW1005" s="139"/>
      <c r="BX1005" s="139"/>
      <c r="BY1005" s="139"/>
      <c r="BZ1005" s="139"/>
      <c r="CA1005" s="139"/>
      <c r="CB1005" s="142">
        <f t="shared" si="4"/>
        <v>0</v>
      </c>
    </row>
    <row r="1006" spans="8:80" x14ac:dyDescent="0.15"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  <c r="R1006" s="140"/>
      <c r="S1006" s="140"/>
      <c r="T1006" s="140"/>
      <c r="U1006" s="140"/>
      <c r="V1006" s="140"/>
      <c r="W1006" s="140"/>
      <c r="X1006" s="140"/>
      <c r="Y1006" s="140"/>
      <c r="Z1006" s="140"/>
      <c r="AA1006" s="141"/>
      <c r="AB1006" s="141"/>
      <c r="AC1006" s="141"/>
      <c r="AD1006" s="141"/>
      <c r="AE1006" s="141"/>
      <c r="AF1006" s="141"/>
      <c r="AG1006" s="141"/>
      <c r="AH1006" s="141"/>
      <c r="AI1006" s="141"/>
      <c r="AJ1006" s="141"/>
      <c r="AK1006" s="141"/>
      <c r="AL1006" s="141"/>
      <c r="AM1006" s="141"/>
      <c r="AN1006" s="141"/>
      <c r="AO1006" s="141"/>
      <c r="AP1006" s="141"/>
      <c r="AQ1006" s="141"/>
      <c r="AR1006" s="141"/>
      <c r="AS1006" s="141"/>
      <c r="AT1006" s="141"/>
      <c r="AU1006" s="141"/>
      <c r="AV1006" s="141"/>
      <c r="AW1006" s="141"/>
      <c r="AX1006" s="141"/>
      <c r="AY1006" s="141"/>
      <c r="AZ1006" s="141"/>
      <c r="BA1006" s="141"/>
      <c r="BB1006" s="141"/>
      <c r="BC1006" s="141"/>
      <c r="BD1006" s="141"/>
      <c r="BE1006" s="141"/>
      <c r="BF1006" s="140"/>
      <c r="BG1006" s="139"/>
      <c r="BH1006" s="139"/>
      <c r="BI1006" s="139"/>
      <c r="BJ1006" s="139"/>
      <c r="BK1006" s="139"/>
      <c r="BL1006" s="139"/>
      <c r="BM1006" s="139"/>
      <c r="BN1006" s="139"/>
      <c r="BO1006" s="139"/>
      <c r="BP1006" s="139"/>
      <c r="BQ1006" s="139"/>
      <c r="BR1006" s="139"/>
      <c r="BS1006" s="139"/>
      <c r="BT1006" s="139"/>
      <c r="BU1006" s="139"/>
      <c r="BV1006" s="139"/>
      <c r="BW1006" s="139"/>
      <c r="BX1006" s="139"/>
      <c r="BY1006" s="139"/>
      <c r="BZ1006" s="139"/>
      <c r="CA1006" s="139"/>
      <c r="CB1006" s="142">
        <f t="shared" si="4"/>
        <v>0</v>
      </c>
    </row>
    <row r="1007" spans="8:80" x14ac:dyDescent="0.15"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  <c r="R1007" s="140"/>
      <c r="S1007" s="140"/>
      <c r="T1007" s="140"/>
      <c r="U1007" s="140"/>
      <c r="V1007" s="140"/>
      <c r="W1007" s="140"/>
      <c r="X1007" s="140"/>
      <c r="Y1007" s="140"/>
      <c r="Z1007" s="140"/>
      <c r="AA1007" s="141"/>
      <c r="AB1007" s="141"/>
      <c r="AC1007" s="141"/>
      <c r="AD1007" s="141"/>
      <c r="AE1007" s="141"/>
      <c r="AF1007" s="141"/>
      <c r="AG1007" s="141"/>
      <c r="AH1007" s="141"/>
      <c r="AI1007" s="141"/>
      <c r="AJ1007" s="141"/>
      <c r="AK1007" s="141"/>
      <c r="AL1007" s="141"/>
      <c r="AM1007" s="141"/>
      <c r="AN1007" s="141"/>
      <c r="AO1007" s="141"/>
      <c r="AP1007" s="141"/>
      <c r="AQ1007" s="141"/>
      <c r="AR1007" s="141"/>
      <c r="AS1007" s="141"/>
      <c r="AT1007" s="141"/>
      <c r="AU1007" s="141"/>
      <c r="AV1007" s="141"/>
      <c r="AW1007" s="141"/>
      <c r="AX1007" s="141"/>
      <c r="AY1007" s="141"/>
      <c r="AZ1007" s="141"/>
      <c r="BA1007" s="141"/>
      <c r="BB1007" s="141"/>
      <c r="BC1007" s="141"/>
      <c r="BD1007" s="141"/>
      <c r="BE1007" s="141"/>
      <c r="BF1007" s="140"/>
      <c r="BG1007" s="139"/>
      <c r="BH1007" s="139"/>
      <c r="BI1007" s="139"/>
      <c r="BJ1007" s="139"/>
      <c r="BK1007" s="139"/>
      <c r="BL1007" s="139"/>
      <c r="BM1007" s="139"/>
      <c r="BN1007" s="139"/>
      <c r="BO1007" s="139"/>
      <c r="BP1007" s="139"/>
      <c r="BQ1007" s="139"/>
      <c r="BR1007" s="139"/>
      <c r="BS1007" s="139"/>
      <c r="BT1007" s="139"/>
      <c r="BU1007" s="139"/>
      <c r="BV1007" s="139"/>
      <c r="BW1007" s="139"/>
      <c r="BX1007" s="139"/>
      <c r="BY1007" s="139"/>
      <c r="BZ1007" s="139"/>
      <c r="CA1007" s="139"/>
      <c r="CB1007" s="142">
        <f t="shared" si="4"/>
        <v>0</v>
      </c>
    </row>
    <row r="1008" spans="8:80" x14ac:dyDescent="0.15">
      <c r="H1008" s="140"/>
      <c r="I1008" s="140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1"/>
      <c r="AB1008" s="141"/>
      <c r="AC1008" s="141"/>
      <c r="AD1008" s="141"/>
      <c r="AE1008" s="141"/>
      <c r="AF1008" s="141"/>
      <c r="AG1008" s="141"/>
      <c r="AH1008" s="141"/>
      <c r="AI1008" s="141"/>
      <c r="AJ1008" s="141"/>
      <c r="AK1008" s="141"/>
      <c r="AL1008" s="141"/>
      <c r="AM1008" s="141"/>
      <c r="AN1008" s="141"/>
      <c r="AO1008" s="141"/>
      <c r="AP1008" s="141"/>
      <c r="AQ1008" s="141"/>
      <c r="AR1008" s="141"/>
      <c r="AS1008" s="141"/>
      <c r="AT1008" s="141"/>
      <c r="AU1008" s="141"/>
      <c r="AV1008" s="141"/>
      <c r="AW1008" s="141"/>
      <c r="AX1008" s="141"/>
      <c r="AY1008" s="141"/>
      <c r="AZ1008" s="141"/>
      <c r="BA1008" s="141"/>
      <c r="BB1008" s="141"/>
      <c r="BC1008" s="141"/>
      <c r="BD1008" s="141"/>
      <c r="BE1008" s="141"/>
      <c r="BF1008" s="140"/>
      <c r="BG1008" s="139"/>
      <c r="BH1008" s="139"/>
      <c r="BI1008" s="139"/>
      <c r="BJ1008" s="139"/>
      <c r="BK1008" s="139"/>
      <c r="BL1008" s="139"/>
      <c r="BM1008" s="139"/>
      <c r="BN1008" s="139"/>
      <c r="BO1008" s="139"/>
      <c r="BP1008" s="139"/>
      <c r="BQ1008" s="139"/>
      <c r="BR1008" s="139"/>
      <c r="BS1008" s="139"/>
      <c r="BT1008" s="139"/>
      <c r="BU1008" s="139"/>
      <c r="BV1008" s="139"/>
      <c r="BW1008" s="139"/>
      <c r="BX1008" s="139"/>
      <c r="BY1008" s="139"/>
      <c r="BZ1008" s="139"/>
      <c r="CA1008" s="139"/>
      <c r="CB1008" s="142">
        <f t="shared" si="4"/>
        <v>0</v>
      </c>
    </row>
    <row r="1009" spans="8:80" x14ac:dyDescent="0.15">
      <c r="H1009" s="140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1"/>
      <c r="AB1009" s="141"/>
      <c r="AC1009" s="141"/>
      <c r="AD1009" s="141"/>
      <c r="AE1009" s="141"/>
      <c r="AF1009" s="141"/>
      <c r="AG1009" s="141"/>
      <c r="AH1009" s="141"/>
      <c r="AI1009" s="141"/>
      <c r="AJ1009" s="141"/>
      <c r="AK1009" s="141"/>
      <c r="AL1009" s="141"/>
      <c r="AM1009" s="141"/>
      <c r="AN1009" s="141"/>
      <c r="AO1009" s="141"/>
      <c r="AP1009" s="141"/>
      <c r="AQ1009" s="141"/>
      <c r="AR1009" s="141"/>
      <c r="AS1009" s="141"/>
      <c r="AT1009" s="141"/>
      <c r="AU1009" s="141"/>
      <c r="AV1009" s="141"/>
      <c r="AW1009" s="141"/>
      <c r="AX1009" s="141"/>
      <c r="AY1009" s="141"/>
      <c r="AZ1009" s="141"/>
      <c r="BA1009" s="141"/>
      <c r="BB1009" s="141"/>
      <c r="BC1009" s="141"/>
      <c r="BD1009" s="141"/>
      <c r="BE1009" s="141"/>
      <c r="BF1009" s="140"/>
      <c r="BG1009" s="139"/>
      <c r="BH1009" s="139"/>
      <c r="BI1009" s="139"/>
      <c r="BJ1009" s="139"/>
      <c r="BK1009" s="139"/>
      <c r="BL1009" s="139"/>
      <c r="BM1009" s="139"/>
      <c r="BN1009" s="139"/>
      <c r="BO1009" s="139"/>
      <c r="BP1009" s="139"/>
      <c r="BQ1009" s="139"/>
      <c r="BR1009" s="139"/>
      <c r="BS1009" s="139"/>
      <c r="BT1009" s="139"/>
      <c r="BU1009" s="139"/>
      <c r="BV1009" s="139"/>
      <c r="BW1009" s="139"/>
      <c r="BX1009" s="139"/>
      <c r="BY1009" s="139"/>
      <c r="BZ1009" s="139"/>
      <c r="CA1009" s="139"/>
      <c r="CB1009" s="142">
        <f t="shared" si="4"/>
        <v>0</v>
      </c>
    </row>
    <row r="1010" spans="8:80" x14ac:dyDescent="0.15">
      <c r="H1010" s="140"/>
      <c r="I1010" s="140"/>
      <c r="J1010" s="140"/>
      <c r="K1010" s="140"/>
      <c r="L1010" s="140"/>
      <c r="M1010" s="140"/>
      <c r="N1010" s="140"/>
      <c r="O1010" s="140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1"/>
      <c r="AB1010" s="141"/>
      <c r="AC1010" s="141"/>
      <c r="AD1010" s="141"/>
      <c r="AE1010" s="141"/>
      <c r="AF1010" s="141"/>
      <c r="AG1010" s="141"/>
      <c r="AH1010" s="141"/>
      <c r="AI1010" s="141"/>
      <c r="AJ1010" s="141"/>
      <c r="AK1010" s="141"/>
      <c r="AL1010" s="141"/>
      <c r="AM1010" s="141"/>
      <c r="AN1010" s="141"/>
      <c r="AO1010" s="141"/>
      <c r="AP1010" s="141"/>
      <c r="AQ1010" s="141"/>
      <c r="AR1010" s="141"/>
      <c r="AS1010" s="141"/>
      <c r="AT1010" s="141"/>
      <c r="AU1010" s="141"/>
      <c r="AV1010" s="141"/>
      <c r="AW1010" s="141"/>
      <c r="AX1010" s="141"/>
      <c r="AY1010" s="141"/>
      <c r="AZ1010" s="141"/>
      <c r="BA1010" s="141"/>
      <c r="BB1010" s="141"/>
      <c r="BC1010" s="141"/>
      <c r="BD1010" s="141"/>
      <c r="BE1010" s="141"/>
      <c r="BF1010" s="140"/>
      <c r="BG1010" s="139"/>
      <c r="BH1010" s="139"/>
      <c r="BI1010" s="139"/>
      <c r="BJ1010" s="139"/>
      <c r="BK1010" s="139"/>
      <c r="BL1010" s="139"/>
      <c r="BM1010" s="139"/>
      <c r="BN1010" s="139"/>
      <c r="BO1010" s="139"/>
      <c r="BP1010" s="139"/>
      <c r="BQ1010" s="139"/>
      <c r="BR1010" s="139"/>
      <c r="BS1010" s="139"/>
      <c r="BT1010" s="139"/>
      <c r="BU1010" s="139"/>
      <c r="BV1010" s="139"/>
      <c r="BW1010" s="139"/>
      <c r="BX1010" s="139"/>
      <c r="BY1010" s="139"/>
      <c r="BZ1010" s="139"/>
      <c r="CA1010" s="139"/>
      <c r="CB1010" s="142">
        <f t="shared" si="4"/>
        <v>0</v>
      </c>
    </row>
    <row r="1011" spans="8:80" x14ac:dyDescent="0.15">
      <c r="H1011" s="140"/>
      <c r="I1011" s="140"/>
      <c r="J1011" s="140"/>
      <c r="K1011" s="140"/>
      <c r="L1011" s="140"/>
      <c r="M1011" s="140"/>
      <c r="N1011" s="140"/>
      <c r="O1011" s="140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1"/>
      <c r="AB1011" s="141"/>
      <c r="AC1011" s="141"/>
      <c r="AD1011" s="141"/>
      <c r="AE1011" s="141"/>
      <c r="AF1011" s="141"/>
      <c r="AG1011" s="141"/>
      <c r="AH1011" s="141"/>
      <c r="AI1011" s="141"/>
      <c r="AJ1011" s="141"/>
      <c r="AK1011" s="141"/>
      <c r="AL1011" s="141"/>
      <c r="AM1011" s="141"/>
      <c r="AN1011" s="141"/>
      <c r="AO1011" s="141"/>
      <c r="AP1011" s="141"/>
      <c r="AQ1011" s="141"/>
      <c r="AR1011" s="141"/>
      <c r="AS1011" s="141"/>
      <c r="AT1011" s="141"/>
      <c r="AU1011" s="141"/>
      <c r="AV1011" s="141"/>
      <c r="AW1011" s="141"/>
      <c r="AX1011" s="141"/>
      <c r="AY1011" s="141"/>
      <c r="AZ1011" s="141"/>
      <c r="BA1011" s="141"/>
      <c r="BB1011" s="141"/>
      <c r="BC1011" s="141"/>
      <c r="BD1011" s="141"/>
      <c r="BE1011" s="141"/>
      <c r="BF1011" s="140"/>
      <c r="BG1011" s="139"/>
      <c r="BH1011" s="139"/>
      <c r="BI1011" s="139"/>
      <c r="BJ1011" s="139"/>
      <c r="BK1011" s="139"/>
      <c r="BL1011" s="139"/>
      <c r="BM1011" s="139"/>
      <c r="BN1011" s="139"/>
      <c r="BO1011" s="139"/>
      <c r="BP1011" s="139"/>
      <c r="BQ1011" s="139"/>
      <c r="BR1011" s="139"/>
      <c r="BS1011" s="139"/>
      <c r="BT1011" s="139"/>
      <c r="BU1011" s="139"/>
      <c r="BV1011" s="139"/>
      <c r="BW1011" s="139"/>
      <c r="BX1011" s="139"/>
      <c r="BY1011" s="139"/>
      <c r="BZ1011" s="139"/>
      <c r="CA1011" s="139"/>
      <c r="CB1011" s="142">
        <f t="shared" si="4"/>
        <v>0</v>
      </c>
    </row>
    <row r="1012" spans="8:80" x14ac:dyDescent="0.15">
      <c r="H1012" s="140"/>
      <c r="I1012" s="140"/>
      <c r="J1012" s="140"/>
      <c r="K1012" s="140"/>
      <c r="L1012" s="140"/>
      <c r="M1012" s="140"/>
      <c r="N1012" s="140"/>
      <c r="O1012" s="140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1"/>
      <c r="AB1012" s="141"/>
      <c r="AC1012" s="141"/>
      <c r="AD1012" s="141"/>
      <c r="AE1012" s="141"/>
      <c r="AF1012" s="141"/>
      <c r="AG1012" s="141"/>
      <c r="AH1012" s="141"/>
      <c r="AI1012" s="141"/>
      <c r="AJ1012" s="141"/>
      <c r="AK1012" s="141"/>
      <c r="AL1012" s="141"/>
      <c r="AM1012" s="141"/>
      <c r="AN1012" s="141"/>
      <c r="AO1012" s="141"/>
      <c r="AP1012" s="141"/>
      <c r="AQ1012" s="141"/>
      <c r="AR1012" s="141"/>
      <c r="AS1012" s="141"/>
      <c r="AT1012" s="141"/>
      <c r="AU1012" s="141"/>
      <c r="AV1012" s="141"/>
      <c r="AW1012" s="141"/>
      <c r="AX1012" s="141"/>
      <c r="AY1012" s="141"/>
      <c r="AZ1012" s="141"/>
      <c r="BA1012" s="141"/>
      <c r="BB1012" s="141"/>
      <c r="BC1012" s="141"/>
      <c r="BD1012" s="141"/>
      <c r="BE1012" s="141"/>
      <c r="BF1012" s="140"/>
      <c r="BG1012" s="139"/>
      <c r="BH1012" s="139"/>
      <c r="BI1012" s="139"/>
      <c r="BJ1012" s="139"/>
      <c r="BK1012" s="139"/>
      <c r="BL1012" s="139"/>
      <c r="BM1012" s="139"/>
      <c r="BN1012" s="139"/>
      <c r="BO1012" s="139"/>
      <c r="BP1012" s="139"/>
      <c r="BQ1012" s="139"/>
      <c r="BR1012" s="139"/>
      <c r="BS1012" s="139"/>
      <c r="BT1012" s="139"/>
      <c r="BU1012" s="139"/>
      <c r="BV1012" s="139"/>
      <c r="BW1012" s="139"/>
      <c r="BX1012" s="139"/>
      <c r="BY1012" s="139"/>
      <c r="BZ1012" s="139"/>
      <c r="CA1012" s="139"/>
      <c r="CB1012" s="142">
        <f t="shared" si="4"/>
        <v>0</v>
      </c>
    </row>
    <row r="1013" spans="8:80" x14ac:dyDescent="0.15">
      <c r="H1013" s="140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1"/>
      <c r="AB1013" s="141"/>
      <c r="AC1013" s="141"/>
      <c r="AD1013" s="141"/>
      <c r="AE1013" s="141"/>
      <c r="AF1013" s="141"/>
      <c r="AG1013" s="141"/>
      <c r="AH1013" s="141"/>
      <c r="AI1013" s="141"/>
      <c r="AJ1013" s="141"/>
      <c r="AK1013" s="141"/>
      <c r="AL1013" s="141"/>
      <c r="AM1013" s="141"/>
      <c r="AN1013" s="141"/>
      <c r="AO1013" s="141"/>
      <c r="AP1013" s="141"/>
      <c r="AQ1013" s="141"/>
      <c r="AR1013" s="141"/>
      <c r="AS1013" s="141"/>
      <c r="AT1013" s="141"/>
      <c r="AU1013" s="141"/>
      <c r="AV1013" s="141"/>
      <c r="AW1013" s="141"/>
      <c r="AX1013" s="141"/>
      <c r="AY1013" s="141"/>
      <c r="AZ1013" s="141"/>
      <c r="BA1013" s="141"/>
      <c r="BB1013" s="141"/>
      <c r="BC1013" s="141"/>
      <c r="BD1013" s="141"/>
      <c r="BE1013" s="141"/>
      <c r="BF1013" s="140"/>
      <c r="BG1013" s="139"/>
      <c r="BH1013" s="139"/>
      <c r="BI1013" s="139"/>
      <c r="BJ1013" s="139"/>
      <c r="BK1013" s="139"/>
      <c r="BL1013" s="139"/>
      <c r="BM1013" s="139"/>
      <c r="BN1013" s="139"/>
      <c r="BO1013" s="139"/>
      <c r="BP1013" s="139"/>
      <c r="BQ1013" s="139"/>
      <c r="BR1013" s="139"/>
      <c r="BS1013" s="139"/>
      <c r="BT1013" s="139"/>
      <c r="BU1013" s="139"/>
      <c r="BV1013" s="139"/>
      <c r="BW1013" s="139"/>
      <c r="BX1013" s="139"/>
      <c r="BY1013" s="139"/>
      <c r="BZ1013" s="139"/>
      <c r="CA1013" s="139"/>
      <c r="CB1013" s="142">
        <f t="shared" si="4"/>
        <v>0</v>
      </c>
    </row>
    <row r="1014" spans="8:80" x14ac:dyDescent="0.15">
      <c r="H1014" s="140"/>
      <c r="I1014" s="140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1"/>
      <c r="AB1014" s="141"/>
      <c r="AC1014" s="141"/>
      <c r="AD1014" s="141"/>
      <c r="AE1014" s="141"/>
      <c r="AF1014" s="141"/>
      <c r="AG1014" s="141"/>
      <c r="AH1014" s="141"/>
      <c r="AI1014" s="141"/>
      <c r="AJ1014" s="141"/>
      <c r="AK1014" s="141"/>
      <c r="AL1014" s="141"/>
      <c r="AM1014" s="141"/>
      <c r="AN1014" s="141"/>
      <c r="AO1014" s="141"/>
      <c r="AP1014" s="141"/>
      <c r="AQ1014" s="141"/>
      <c r="AR1014" s="141"/>
      <c r="AS1014" s="141"/>
      <c r="AT1014" s="141"/>
      <c r="AU1014" s="141"/>
      <c r="AV1014" s="141"/>
      <c r="AW1014" s="141"/>
      <c r="AX1014" s="141"/>
      <c r="AY1014" s="141"/>
      <c r="AZ1014" s="141"/>
      <c r="BA1014" s="141"/>
      <c r="BB1014" s="141"/>
      <c r="BC1014" s="141"/>
      <c r="BD1014" s="141"/>
      <c r="BE1014" s="141"/>
      <c r="BF1014" s="140"/>
      <c r="BG1014" s="139"/>
      <c r="BH1014" s="139"/>
      <c r="BI1014" s="139"/>
      <c r="BJ1014" s="139"/>
      <c r="BK1014" s="139"/>
      <c r="BL1014" s="139"/>
      <c r="BM1014" s="139"/>
      <c r="BN1014" s="139"/>
      <c r="BO1014" s="139"/>
      <c r="BP1014" s="139"/>
      <c r="BQ1014" s="139"/>
      <c r="BR1014" s="139"/>
      <c r="BS1014" s="139"/>
      <c r="BT1014" s="139"/>
      <c r="BU1014" s="139"/>
      <c r="BV1014" s="139"/>
      <c r="BW1014" s="139"/>
      <c r="BX1014" s="139"/>
      <c r="BY1014" s="139"/>
      <c r="BZ1014" s="139"/>
      <c r="CA1014" s="139"/>
      <c r="CB1014" s="142">
        <f t="shared" si="4"/>
        <v>0</v>
      </c>
    </row>
    <row r="1015" spans="8:80" x14ac:dyDescent="0.15">
      <c r="H1015" s="140"/>
      <c r="I1015" s="140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1"/>
      <c r="AB1015" s="141"/>
      <c r="AC1015" s="141"/>
      <c r="AD1015" s="141"/>
      <c r="AE1015" s="141"/>
      <c r="AF1015" s="141"/>
      <c r="AG1015" s="141"/>
      <c r="AH1015" s="141"/>
      <c r="AI1015" s="141"/>
      <c r="AJ1015" s="141"/>
      <c r="AK1015" s="141"/>
      <c r="AL1015" s="141"/>
      <c r="AM1015" s="141"/>
      <c r="AN1015" s="141"/>
      <c r="AO1015" s="141"/>
      <c r="AP1015" s="141"/>
      <c r="AQ1015" s="141"/>
      <c r="AR1015" s="141"/>
      <c r="AS1015" s="141"/>
      <c r="AT1015" s="141"/>
      <c r="AU1015" s="141"/>
      <c r="AV1015" s="141"/>
      <c r="AW1015" s="141"/>
      <c r="AX1015" s="141"/>
      <c r="AY1015" s="141"/>
      <c r="AZ1015" s="141"/>
      <c r="BA1015" s="141"/>
      <c r="BB1015" s="141"/>
      <c r="BC1015" s="141"/>
      <c r="BD1015" s="141"/>
      <c r="BE1015" s="141"/>
      <c r="BF1015" s="140"/>
      <c r="BG1015" s="139"/>
      <c r="BH1015" s="139"/>
      <c r="BI1015" s="139"/>
      <c r="BJ1015" s="139"/>
      <c r="BK1015" s="139"/>
      <c r="BL1015" s="139"/>
      <c r="BM1015" s="139"/>
      <c r="BN1015" s="139"/>
      <c r="BO1015" s="139"/>
      <c r="BP1015" s="139"/>
      <c r="BQ1015" s="139"/>
      <c r="BR1015" s="139"/>
      <c r="BS1015" s="139"/>
      <c r="BT1015" s="139"/>
      <c r="BU1015" s="139"/>
      <c r="BV1015" s="139"/>
      <c r="BW1015" s="139"/>
      <c r="BX1015" s="139"/>
      <c r="BY1015" s="139"/>
      <c r="BZ1015" s="139"/>
      <c r="CA1015" s="139"/>
      <c r="CB1015" s="142">
        <f t="shared" si="4"/>
        <v>0</v>
      </c>
    </row>
    <row r="1016" spans="8:80" x14ac:dyDescent="0.15">
      <c r="H1016" s="140"/>
      <c r="I1016" s="140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1"/>
      <c r="AB1016" s="141"/>
      <c r="AC1016" s="141"/>
      <c r="AD1016" s="141"/>
      <c r="AE1016" s="141"/>
      <c r="AF1016" s="141"/>
      <c r="AG1016" s="141"/>
      <c r="AH1016" s="141"/>
      <c r="AI1016" s="141"/>
      <c r="AJ1016" s="141"/>
      <c r="AK1016" s="141"/>
      <c r="AL1016" s="141"/>
      <c r="AM1016" s="141"/>
      <c r="AN1016" s="141"/>
      <c r="AO1016" s="141"/>
      <c r="AP1016" s="141"/>
      <c r="AQ1016" s="141"/>
      <c r="AR1016" s="141"/>
      <c r="AS1016" s="141"/>
      <c r="AT1016" s="141"/>
      <c r="AU1016" s="141"/>
      <c r="AV1016" s="141"/>
      <c r="AW1016" s="141"/>
      <c r="AX1016" s="141"/>
      <c r="AY1016" s="141"/>
      <c r="AZ1016" s="141"/>
      <c r="BA1016" s="141"/>
      <c r="BB1016" s="141"/>
      <c r="BC1016" s="141"/>
      <c r="BD1016" s="141"/>
      <c r="BE1016" s="141"/>
      <c r="BF1016" s="140"/>
      <c r="BG1016" s="139"/>
      <c r="BH1016" s="139"/>
      <c r="BI1016" s="139"/>
      <c r="BJ1016" s="139"/>
      <c r="BK1016" s="139"/>
      <c r="BL1016" s="139"/>
      <c r="BM1016" s="139"/>
      <c r="BN1016" s="139"/>
      <c r="BO1016" s="139"/>
      <c r="BP1016" s="139"/>
      <c r="BQ1016" s="139"/>
      <c r="BR1016" s="139"/>
      <c r="BS1016" s="139"/>
      <c r="BT1016" s="139"/>
      <c r="BU1016" s="139"/>
      <c r="BV1016" s="139"/>
      <c r="BW1016" s="139"/>
      <c r="BX1016" s="139"/>
      <c r="BY1016" s="139"/>
      <c r="BZ1016" s="139"/>
      <c r="CA1016" s="139"/>
      <c r="CB1016" s="142">
        <f t="shared" si="4"/>
        <v>0</v>
      </c>
    </row>
    <row r="1017" spans="8:80" x14ac:dyDescent="0.15">
      <c r="H1017" s="140"/>
      <c r="I1017" s="140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1"/>
      <c r="AB1017" s="141"/>
      <c r="AC1017" s="141"/>
      <c r="AD1017" s="141"/>
      <c r="AE1017" s="141"/>
      <c r="AF1017" s="141"/>
      <c r="AG1017" s="141"/>
      <c r="AH1017" s="141"/>
      <c r="AI1017" s="141"/>
      <c r="AJ1017" s="141"/>
      <c r="AK1017" s="141"/>
      <c r="AL1017" s="141"/>
      <c r="AM1017" s="141"/>
      <c r="AN1017" s="141"/>
      <c r="AO1017" s="141"/>
      <c r="AP1017" s="141"/>
      <c r="AQ1017" s="141"/>
      <c r="AR1017" s="141"/>
      <c r="AS1017" s="141"/>
      <c r="AT1017" s="141"/>
      <c r="AU1017" s="141"/>
      <c r="AV1017" s="141"/>
      <c r="AW1017" s="141"/>
      <c r="AX1017" s="141"/>
      <c r="AY1017" s="141"/>
      <c r="AZ1017" s="141"/>
      <c r="BA1017" s="141"/>
      <c r="BB1017" s="141"/>
      <c r="BC1017" s="141"/>
      <c r="BD1017" s="141"/>
      <c r="BE1017" s="141"/>
      <c r="BF1017" s="140"/>
      <c r="BG1017" s="139"/>
      <c r="BH1017" s="139"/>
      <c r="BI1017" s="139"/>
      <c r="BJ1017" s="139"/>
      <c r="BK1017" s="139"/>
      <c r="BL1017" s="139"/>
      <c r="BM1017" s="139"/>
      <c r="BN1017" s="139"/>
      <c r="BO1017" s="139"/>
      <c r="BP1017" s="139"/>
      <c r="BQ1017" s="139"/>
      <c r="BR1017" s="139"/>
      <c r="BS1017" s="139"/>
      <c r="BT1017" s="139"/>
      <c r="BU1017" s="139"/>
      <c r="BV1017" s="139"/>
      <c r="BW1017" s="139"/>
      <c r="BX1017" s="139"/>
      <c r="BY1017" s="139"/>
      <c r="BZ1017" s="139"/>
      <c r="CA1017" s="139"/>
      <c r="CB1017" s="142">
        <f t="shared" si="4"/>
        <v>0</v>
      </c>
    </row>
    <row r="1018" spans="8:80" x14ac:dyDescent="0.15">
      <c r="H1018" s="140"/>
      <c r="I1018" s="140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1"/>
      <c r="AB1018" s="141"/>
      <c r="AC1018" s="141"/>
      <c r="AD1018" s="141"/>
      <c r="AE1018" s="141"/>
      <c r="AF1018" s="141"/>
      <c r="AG1018" s="141"/>
      <c r="AH1018" s="141"/>
      <c r="AI1018" s="141"/>
      <c r="AJ1018" s="141"/>
      <c r="AK1018" s="141"/>
      <c r="AL1018" s="141"/>
      <c r="AM1018" s="141"/>
      <c r="AN1018" s="141"/>
      <c r="AO1018" s="141"/>
      <c r="AP1018" s="141"/>
      <c r="AQ1018" s="141"/>
      <c r="AR1018" s="141"/>
      <c r="AS1018" s="141"/>
      <c r="AT1018" s="141"/>
      <c r="AU1018" s="141"/>
      <c r="AV1018" s="141"/>
      <c r="AW1018" s="141"/>
      <c r="AX1018" s="141"/>
      <c r="AY1018" s="141"/>
      <c r="AZ1018" s="141"/>
      <c r="BA1018" s="141"/>
      <c r="BB1018" s="141"/>
      <c r="BC1018" s="141"/>
      <c r="BD1018" s="141"/>
      <c r="BE1018" s="141"/>
      <c r="BF1018" s="140"/>
      <c r="BG1018" s="139"/>
      <c r="BH1018" s="139"/>
      <c r="BI1018" s="139"/>
      <c r="BJ1018" s="139"/>
      <c r="BK1018" s="139"/>
      <c r="BL1018" s="139"/>
      <c r="BM1018" s="139"/>
      <c r="BN1018" s="139"/>
      <c r="BO1018" s="139"/>
      <c r="BP1018" s="139"/>
      <c r="BQ1018" s="139"/>
      <c r="BR1018" s="139"/>
      <c r="BS1018" s="139"/>
      <c r="BT1018" s="139"/>
      <c r="BU1018" s="139"/>
      <c r="BV1018" s="139"/>
      <c r="BW1018" s="139"/>
      <c r="BX1018" s="139"/>
      <c r="BY1018" s="139"/>
      <c r="BZ1018" s="139"/>
      <c r="CA1018" s="139"/>
      <c r="CB1018" s="142">
        <f t="shared" si="4"/>
        <v>0</v>
      </c>
    </row>
    <row r="1019" spans="8:80" x14ac:dyDescent="0.15">
      <c r="H1019" s="140"/>
      <c r="I1019" s="140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1"/>
      <c r="AB1019" s="141"/>
      <c r="AC1019" s="141"/>
      <c r="AD1019" s="141"/>
      <c r="AE1019" s="141"/>
      <c r="AF1019" s="141"/>
      <c r="AG1019" s="141"/>
      <c r="AH1019" s="141"/>
      <c r="AI1019" s="141"/>
      <c r="AJ1019" s="141"/>
      <c r="AK1019" s="141"/>
      <c r="AL1019" s="141"/>
      <c r="AM1019" s="141"/>
      <c r="AN1019" s="141"/>
      <c r="AO1019" s="141"/>
      <c r="AP1019" s="141"/>
      <c r="AQ1019" s="141"/>
      <c r="AR1019" s="141"/>
      <c r="AS1019" s="141"/>
      <c r="AT1019" s="141"/>
      <c r="AU1019" s="141"/>
      <c r="AV1019" s="141"/>
      <c r="AW1019" s="141"/>
      <c r="AX1019" s="141"/>
      <c r="AY1019" s="141"/>
      <c r="AZ1019" s="141"/>
      <c r="BA1019" s="141"/>
      <c r="BB1019" s="141"/>
      <c r="BC1019" s="141"/>
      <c r="BD1019" s="141"/>
      <c r="BE1019" s="141"/>
      <c r="BF1019" s="140"/>
      <c r="BG1019" s="139"/>
      <c r="BH1019" s="139"/>
      <c r="BI1019" s="139"/>
      <c r="BJ1019" s="139"/>
      <c r="BK1019" s="139"/>
      <c r="BL1019" s="139"/>
      <c r="BM1019" s="139"/>
      <c r="BN1019" s="139"/>
      <c r="BO1019" s="139"/>
      <c r="BP1019" s="139"/>
      <c r="BQ1019" s="139"/>
      <c r="BR1019" s="139"/>
      <c r="BS1019" s="139"/>
      <c r="BT1019" s="139"/>
      <c r="BU1019" s="139"/>
      <c r="BV1019" s="139"/>
      <c r="BW1019" s="139"/>
      <c r="BX1019" s="139"/>
      <c r="BY1019" s="139"/>
      <c r="BZ1019" s="139"/>
      <c r="CA1019" s="139"/>
      <c r="CB1019" s="142">
        <f t="shared" si="4"/>
        <v>0</v>
      </c>
    </row>
    <row r="1020" spans="8:80" x14ac:dyDescent="0.15">
      <c r="H1020" s="140"/>
      <c r="I1020" s="140"/>
      <c r="J1020" s="140"/>
      <c r="K1020" s="140"/>
      <c r="L1020" s="140"/>
      <c r="M1020" s="140"/>
      <c r="N1020" s="140"/>
      <c r="O1020" s="140"/>
      <c r="P1020" s="140"/>
      <c r="Q1020" s="140"/>
      <c r="R1020" s="140"/>
      <c r="S1020" s="140"/>
      <c r="T1020" s="140"/>
      <c r="U1020" s="140"/>
      <c r="V1020" s="140"/>
      <c r="W1020" s="140"/>
      <c r="X1020" s="140"/>
      <c r="Y1020" s="140"/>
      <c r="Z1020" s="140"/>
      <c r="AA1020" s="141"/>
      <c r="AB1020" s="141"/>
      <c r="AC1020" s="141"/>
      <c r="AD1020" s="141"/>
      <c r="AE1020" s="141"/>
      <c r="AF1020" s="141"/>
      <c r="AG1020" s="141"/>
      <c r="AH1020" s="141"/>
      <c r="AI1020" s="141"/>
      <c r="AJ1020" s="141"/>
      <c r="AK1020" s="141"/>
      <c r="AL1020" s="141"/>
      <c r="AM1020" s="141"/>
      <c r="AN1020" s="141"/>
      <c r="AO1020" s="141"/>
      <c r="AP1020" s="141"/>
      <c r="AQ1020" s="141"/>
      <c r="AR1020" s="141"/>
      <c r="AS1020" s="141"/>
      <c r="AT1020" s="141"/>
      <c r="AU1020" s="141"/>
      <c r="AV1020" s="141"/>
      <c r="AW1020" s="141"/>
      <c r="AX1020" s="141"/>
      <c r="AY1020" s="141"/>
      <c r="AZ1020" s="141"/>
      <c r="BA1020" s="141"/>
      <c r="BB1020" s="141"/>
      <c r="BC1020" s="141"/>
      <c r="BD1020" s="141"/>
      <c r="BE1020" s="141"/>
      <c r="BF1020" s="140"/>
      <c r="BG1020" s="139"/>
      <c r="BH1020" s="139"/>
      <c r="BI1020" s="139"/>
      <c r="BJ1020" s="139"/>
      <c r="BK1020" s="139"/>
      <c r="BL1020" s="139"/>
      <c r="BM1020" s="139"/>
      <c r="BN1020" s="139"/>
      <c r="BO1020" s="139"/>
      <c r="BP1020" s="139"/>
      <c r="BQ1020" s="139"/>
      <c r="BR1020" s="139"/>
      <c r="BS1020" s="139"/>
      <c r="BT1020" s="139"/>
      <c r="BU1020" s="139"/>
      <c r="BV1020" s="139"/>
      <c r="BW1020" s="139"/>
      <c r="BX1020" s="139"/>
      <c r="BY1020" s="139"/>
      <c r="BZ1020" s="139"/>
      <c r="CA1020" s="139"/>
      <c r="CB1020" s="142">
        <f t="shared" si="4"/>
        <v>0</v>
      </c>
    </row>
    <row r="1021" spans="8:80" x14ac:dyDescent="0.15">
      <c r="H1021" s="140"/>
      <c r="I1021" s="140"/>
      <c r="J1021" s="140"/>
      <c r="K1021" s="140"/>
      <c r="L1021" s="140"/>
      <c r="M1021" s="140"/>
      <c r="N1021" s="140"/>
      <c r="O1021" s="140"/>
      <c r="P1021" s="140"/>
      <c r="Q1021" s="140"/>
      <c r="R1021" s="140"/>
      <c r="S1021" s="140"/>
      <c r="T1021" s="140"/>
      <c r="U1021" s="140"/>
      <c r="V1021" s="140"/>
      <c r="W1021" s="140"/>
      <c r="X1021" s="140"/>
      <c r="Y1021" s="140"/>
      <c r="Z1021" s="140"/>
      <c r="AA1021" s="141"/>
      <c r="AB1021" s="141"/>
      <c r="AC1021" s="141"/>
      <c r="AD1021" s="141"/>
      <c r="AE1021" s="141"/>
      <c r="AF1021" s="141"/>
      <c r="AG1021" s="141"/>
      <c r="AH1021" s="141"/>
      <c r="AI1021" s="141"/>
      <c r="AJ1021" s="141"/>
      <c r="AK1021" s="141"/>
      <c r="AL1021" s="141"/>
      <c r="AM1021" s="141"/>
      <c r="AN1021" s="141"/>
      <c r="AO1021" s="141"/>
      <c r="AP1021" s="141"/>
      <c r="AQ1021" s="141"/>
      <c r="AR1021" s="141"/>
      <c r="AS1021" s="141"/>
      <c r="AT1021" s="141"/>
      <c r="AU1021" s="141"/>
      <c r="AV1021" s="141"/>
      <c r="AW1021" s="141"/>
      <c r="AX1021" s="141"/>
      <c r="AY1021" s="141"/>
      <c r="AZ1021" s="141"/>
      <c r="BA1021" s="141"/>
      <c r="BB1021" s="141"/>
      <c r="BC1021" s="141"/>
      <c r="BD1021" s="141"/>
      <c r="BE1021" s="141"/>
      <c r="BF1021" s="140"/>
      <c r="BG1021" s="139"/>
      <c r="BH1021" s="139"/>
      <c r="BI1021" s="139"/>
      <c r="BJ1021" s="139"/>
      <c r="BK1021" s="139"/>
      <c r="BL1021" s="139"/>
      <c r="BM1021" s="139"/>
      <c r="BN1021" s="139"/>
      <c r="BO1021" s="139"/>
      <c r="BP1021" s="139"/>
      <c r="BQ1021" s="139"/>
      <c r="BR1021" s="139"/>
      <c r="BS1021" s="139"/>
      <c r="BT1021" s="139"/>
      <c r="BU1021" s="139"/>
      <c r="BV1021" s="139"/>
      <c r="BW1021" s="139"/>
      <c r="BX1021" s="139"/>
      <c r="BY1021" s="139"/>
      <c r="BZ1021" s="139"/>
      <c r="CA1021" s="139"/>
      <c r="CB1021" s="142">
        <f t="shared" si="4"/>
        <v>0</v>
      </c>
    </row>
    <row r="1022" spans="8:80" x14ac:dyDescent="0.15">
      <c r="H1022" s="140"/>
      <c r="I1022" s="140"/>
      <c r="J1022" s="140"/>
      <c r="K1022" s="140"/>
      <c r="L1022" s="140"/>
      <c r="M1022" s="140"/>
      <c r="N1022" s="140"/>
      <c r="O1022" s="140"/>
      <c r="P1022" s="140"/>
      <c r="Q1022" s="140"/>
      <c r="R1022" s="140"/>
      <c r="S1022" s="140"/>
      <c r="T1022" s="140"/>
      <c r="U1022" s="140"/>
      <c r="V1022" s="140"/>
      <c r="W1022" s="140"/>
      <c r="X1022" s="140"/>
      <c r="Y1022" s="140"/>
      <c r="Z1022" s="140"/>
      <c r="AA1022" s="141"/>
      <c r="AB1022" s="141"/>
      <c r="AC1022" s="141"/>
      <c r="AD1022" s="141"/>
      <c r="AE1022" s="141"/>
      <c r="AF1022" s="141"/>
      <c r="AG1022" s="141"/>
      <c r="AH1022" s="141"/>
      <c r="AI1022" s="141"/>
      <c r="AJ1022" s="141"/>
      <c r="AK1022" s="141"/>
      <c r="AL1022" s="141"/>
      <c r="AM1022" s="141"/>
      <c r="AN1022" s="141"/>
      <c r="AO1022" s="141"/>
      <c r="AP1022" s="141"/>
      <c r="AQ1022" s="141"/>
      <c r="AR1022" s="141"/>
      <c r="AS1022" s="141"/>
      <c r="AT1022" s="141"/>
      <c r="AU1022" s="141"/>
      <c r="AV1022" s="141"/>
      <c r="AW1022" s="141"/>
      <c r="AX1022" s="141"/>
      <c r="AY1022" s="141"/>
      <c r="AZ1022" s="141"/>
      <c r="BA1022" s="141"/>
      <c r="BB1022" s="141"/>
      <c r="BC1022" s="141"/>
      <c r="BD1022" s="141"/>
      <c r="BE1022" s="141"/>
      <c r="BF1022" s="140"/>
      <c r="BG1022" s="139"/>
      <c r="BH1022" s="139"/>
      <c r="BI1022" s="139"/>
      <c r="BJ1022" s="139"/>
      <c r="BK1022" s="139"/>
      <c r="BL1022" s="139"/>
      <c r="BM1022" s="139"/>
      <c r="BN1022" s="139"/>
      <c r="BO1022" s="139"/>
      <c r="BP1022" s="139"/>
      <c r="BQ1022" s="139"/>
      <c r="BR1022" s="139"/>
      <c r="BS1022" s="139"/>
      <c r="BT1022" s="139"/>
      <c r="BU1022" s="139"/>
      <c r="BV1022" s="139"/>
      <c r="BW1022" s="139"/>
      <c r="BX1022" s="139"/>
      <c r="BY1022" s="139"/>
      <c r="BZ1022" s="139"/>
      <c r="CA1022" s="139"/>
      <c r="CB1022" s="142">
        <f t="shared" si="4"/>
        <v>0</v>
      </c>
    </row>
    <row r="1023" spans="8:80" x14ac:dyDescent="0.15">
      <c r="H1023" s="140"/>
      <c r="I1023" s="140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1"/>
      <c r="AB1023" s="141"/>
      <c r="AC1023" s="141"/>
      <c r="AD1023" s="141"/>
      <c r="AE1023" s="141"/>
      <c r="AF1023" s="141"/>
      <c r="AG1023" s="141"/>
      <c r="AH1023" s="141"/>
      <c r="AI1023" s="141"/>
      <c r="AJ1023" s="141"/>
      <c r="AK1023" s="141"/>
      <c r="AL1023" s="141"/>
      <c r="AM1023" s="141"/>
      <c r="AN1023" s="141"/>
      <c r="AO1023" s="141"/>
      <c r="AP1023" s="141"/>
      <c r="AQ1023" s="141"/>
      <c r="AR1023" s="141"/>
      <c r="AS1023" s="141"/>
      <c r="AT1023" s="141"/>
      <c r="AU1023" s="141"/>
      <c r="AV1023" s="141"/>
      <c r="AW1023" s="141"/>
      <c r="AX1023" s="141"/>
      <c r="AY1023" s="141"/>
      <c r="AZ1023" s="141"/>
      <c r="BA1023" s="141"/>
      <c r="BB1023" s="141"/>
      <c r="BC1023" s="141"/>
      <c r="BD1023" s="141"/>
      <c r="BE1023" s="141"/>
      <c r="BF1023" s="140"/>
      <c r="BG1023" s="139"/>
      <c r="BH1023" s="139"/>
      <c r="BI1023" s="139"/>
      <c r="BJ1023" s="139"/>
      <c r="BK1023" s="139"/>
      <c r="BL1023" s="139"/>
      <c r="BM1023" s="139"/>
      <c r="BN1023" s="139"/>
      <c r="BO1023" s="139"/>
      <c r="BP1023" s="139"/>
      <c r="BQ1023" s="139"/>
      <c r="BR1023" s="139"/>
      <c r="BS1023" s="139"/>
      <c r="BT1023" s="139"/>
      <c r="BU1023" s="139"/>
      <c r="BV1023" s="139"/>
      <c r="BW1023" s="139"/>
      <c r="BX1023" s="139"/>
      <c r="BY1023" s="139"/>
      <c r="BZ1023" s="139"/>
      <c r="CA1023" s="139"/>
      <c r="CB1023" s="142">
        <f t="shared" si="4"/>
        <v>0</v>
      </c>
    </row>
    <row r="1024" spans="8:80" x14ac:dyDescent="0.15">
      <c r="H1024" s="140"/>
      <c r="I1024" s="140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1"/>
      <c r="AB1024" s="141"/>
      <c r="AC1024" s="141"/>
      <c r="AD1024" s="141"/>
      <c r="AE1024" s="141"/>
      <c r="AF1024" s="141"/>
      <c r="AG1024" s="141"/>
      <c r="AH1024" s="141"/>
      <c r="AI1024" s="141"/>
      <c r="AJ1024" s="141"/>
      <c r="AK1024" s="141"/>
      <c r="AL1024" s="141"/>
      <c r="AM1024" s="141"/>
      <c r="AN1024" s="141"/>
      <c r="AO1024" s="141"/>
      <c r="AP1024" s="141"/>
      <c r="AQ1024" s="141"/>
      <c r="AR1024" s="141"/>
      <c r="AS1024" s="141"/>
      <c r="AT1024" s="141"/>
      <c r="AU1024" s="141"/>
      <c r="AV1024" s="141"/>
      <c r="AW1024" s="141"/>
      <c r="AX1024" s="141"/>
      <c r="AY1024" s="141"/>
      <c r="AZ1024" s="141"/>
      <c r="BA1024" s="141"/>
      <c r="BB1024" s="141"/>
      <c r="BC1024" s="141"/>
      <c r="BD1024" s="141"/>
      <c r="BE1024" s="141"/>
      <c r="BF1024" s="140"/>
      <c r="BG1024" s="139"/>
      <c r="BH1024" s="139"/>
      <c r="BI1024" s="139"/>
      <c r="BJ1024" s="139"/>
      <c r="BK1024" s="139"/>
      <c r="BL1024" s="139"/>
      <c r="BM1024" s="139"/>
      <c r="BN1024" s="139"/>
      <c r="BO1024" s="139"/>
      <c r="BP1024" s="139"/>
      <c r="BQ1024" s="139"/>
      <c r="BR1024" s="139"/>
      <c r="BS1024" s="139"/>
      <c r="BT1024" s="139"/>
      <c r="BU1024" s="139"/>
      <c r="BV1024" s="139"/>
      <c r="BW1024" s="139"/>
      <c r="BX1024" s="139"/>
      <c r="BY1024" s="139"/>
      <c r="BZ1024" s="139"/>
      <c r="CA1024" s="139"/>
      <c r="CB1024" s="142">
        <f t="shared" si="4"/>
        <v>0</v>
      </c>
    </row>
    <row r="1025" spans="8:80" x14ac:dyDescent="0.15">
      <c r="H1025" s="140"/>
      <c r="I1025" s="140"/>
      <c r="J1025" s="140"/>
      <c r="K1025" s="140"/>
      <c r="L1025" s="140"/>
      <c r="M1025" s="140"/>
      <c r="N1025" s="140"/>
      <c r="O1025" s="140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1"/>
      <c r="AB1025" s="141"/>
      <c r="AC1025" s="141"/>
      <c r="AD1025" s="141"/>
      <c r="AE1025" s="141"/>
      <c r="AF1025" s="141"/>
      <c r="AG1025" s="141"/>
      <c r="AH1025" s="141"/>
      <c r="AI1025" s="141"/>
      <c r="AJ1025" s="141"/>
      <c r="AK1025" s="141"/>
      <c r="AL1025" s="141"/>
      <c r="AM1025" s="141"/>
      <c r="AN1025" s="141"/>
      <c r="AO1025" s="141"/>
      <c r="AP1025" s="141"/>
      <c r="AQ1025" s="141"/>
      <c r="AR1025" s="141"/>
      <c r="AS1025" s="141"/>
      <c r="AT1025" s="141"/>
      <c r="AU1025" s="141"/>
      <c r="AV1025" s="141"/>
      <c r="AW1025" s="141"/>
      <c r="AX1025" s="141"/>
      <c r="AY1025" s="141"/>
      <c r="AZ1025" s="141"/>
      <c r="BA1025" s="141"/>
      <c r="BB1025" s="141"/>
      <c r="BC1025" s="141"/>
      <c r="BD1025" s="141"/>
      <c r="BE1025" s="141"/>
      <c r="BF1025" s="140"/>
      <c r="BG1025" s="139"/>
      <c r="BH1025" s="139"/>
      <c r="BI1025" s="139"/>
      <c r="BJ1025" s="139"/>
      <c r="BK1025" s="139"/>
      <c r="BL1025" s="139"/>
      <c r="BM1025" s="139"/>
      <c r="BN1025" s="139"/>
      <c r="BO1025" s="139"/>
      <c r="BP1025" s="139"/>
      <c r="BQ1025" s="139"/>
      <c r="BR1025" s="139"/>
      <c r="BS1025" s="139"/>
      <c r="BT1025" s="139"/>
      <c r="BU1025" s="139"/>
      <c r="BV1025" s="139"/>
      <c r="BW1025" s="139"/>
      <c r="BX1025" s="139"/>
      <c r="BY1025" s="139"/>
      <c r="BZ1025" s="139"/>
      <c r="CA1025" s="139"/>
      <c r="CB1025" s="142">
        <f t="shared" si="4"/>
        <v>0</v>
      </c>
    </row>
    <row r="1026" spans="8:80" x14ac:dyDescent="0.15">
      <c r="H1026" s="140"/>
      <c r="I1026" s="140"/>
      <c r="J1026" s="140"/>
      <c r="K1026" s="140"/>
      <c r="L1026" s="140"/>
      <c r="M1026" s="140"/>
      <c r="N1026" s="140"/>
      <c r="O1026" s="140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1"/>
      <c r="AB1026" s="141"/>
      <c r="AC1026" s="141"/>
      <c r="AD1026" s="141"/>
      <c r="AE1026" s="141"/>
      <c r="AF1026" s="141"/>
      <c r="AG1026" s="141"/>
      <c r="AH1026" s="141"/>
      <c r="AI1026" s="141"/>
      <c r="AJ1026" s="141"/>
      <c r="AK1026" s="141"/>
      <c r="AL1026" s="141"/>
      <c r="AM1026" s="141"/>
      <c r="AN1026" s="141"/>
      <c r="AO1026" s="141"/>
      <c r="AP1026" s="141"/>
      <c r="AQ1026" s="141"/>
      <c r="AR1026" s="141"/>
      <c r="AS1026" s="141"/>
      <c r="AT1026" s="141"/>
      <c r="AU1026" s="141"/>
      <c r="AV1026" s="141"/>
      <c r="AW1026" s="141"/>
      <c r="AX1026" s="141"/>
      <c r="AY1026" s="141"/>
      <c r="AZ1026" s="141"/>
      <c r="BA1026" s="141"/>
      <c r="BB1026" s="141"/>
      <c r="BC1026" s="141"/>
      <c r="BD1026" s="141"/>
      <c r="BE1026" s="141"/>
      <c r="BF1026" s="140"/>
      <c r="BG1026" s="139"/>
      <c r="BH1026" s="139"/>
      <c r="BI1026" s="139"/>
      <c r="BJ1026" s="139"/>
      <c r="BK1026" s="139"/>
      <c r="BL1026" s="139"/>
      <c r="BM1026" s="139"/>
      <c r="BN1026" s="139"/>
      <c r="BO1026" s="139"/>
      <c r="BP1026" s="139"/>
      <c r="BQ1026" s="139"/>
      <c r="BR1026" s="139"/>
      <c r="BS1026" s="139"/>
      <c r="BT1026" s="139"/>
      <c r="BU1026" s="139"/>
      <c r="BV1026" s="139"/>
      <c r="BW1026" s="139"/>
      <c r="BX1026" s="139"/>
      <c r="BY1026" s="139"/>
      <c r="BZ1026" s="139"/>
      <c r="CA1026" s="139"/>
      <c r="CB1026" s="142">
        <f t="shared" si="4"/>
        <v>0</v>
      </c>
    </row>
    <row r="1027" spans="8:80" x14ac:dyDescent="0.15">
      <c r="H1027" s="140"/>
      <c r="I1027" s="140"/>
      <c r="J1027" s="140"/>
      <c r="K1027" s="140"/>
      <c r="L1027" s="140"/>
      <c r="M1027" s="140"/>
      <c r="N1027" s="140"/>
      <c r="O1027" s="140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1"/>
      <c r="AB1027" s="141"/>
      <c r="AC1027" s="141"/>
      <c r="AD1027" s="141"/>
      <c r="AE1027" s="141"/>
      <c r="AF1027" s="141"/>
      <c r="AG1027" s="141"/>
      <c r="AH1027" s="141"/>
      <c r="AI1027" s="141"/>
      <c r="AJ1027" s="141"/>
      <c r="AK1027" s="141"/>
      <c r="AL1027" s="141"/>
      <c r="AM1027" s="141"/>
      <c r="AN1027" s="141"/>
      <c r="AO1027" s="141"/>
      <c r="AP1027" s="141"/>
      <c r="AQ1027" s="141"/>
      <c r="AR1027" s="141"/>
      <c r="AS1027" s="141"/>
      <c r="AT1027" s="141"/>
      <c r="AU1027" s="141"/>
      <c r="AV1027" s="141"/>
      <c r="AW1027" s="141"/>
      <c r="AX1027" s="141"/>
      <c r="AY1027" s="141"/>
      <c r="AZ1027" s="141"/>
      <c r="BA1027" s="141"/>
      <c r="BB1027" s="141"/>
      <c r="BC1027" s="141"/>
      <c r="BD1027" s="141"/>
      <c r="BE1027" s="141"/>
      <c r="BF1027" s="140"/>
      <c r="BG1027" s="139"/>
      <c r="BH1027" s="139"/>
      <c r="BI1027" s="139"/>
      <c r="BJ1027" s="139"/>
      <c r="BK1027" s="139"/>
      <c r="BL1027" s="139"/>
      <c r="BM1027" s="139"/>
      <c r="BN1027" s="139"/>
      <c r="BO1027" s="139"/>
      <c r="BP1027" s="139"/>
      <c r="BQ1027" s="139"/>
      <c r="BR1027" s="139"/>
      <c r="BS1027" s="139"/>
      <c r="BT1027" s="139"/>
      <c r="BU1027" s="139"/>
      <c r="BV1027" s="139"/>
      <c r="BW1027" s="139"/>
      <c r="BX1027" s="139"/>
      <c r="BY1027" s="139"/>
      <c r="BZ1027" s="139"/>
      <c r="CA1027" s="139"/>
      <c r="CB1027" s="142">
        <f t="shared" si="4"/>
        <v>0</v>
      </c>
    </row>
    <row r="1028" spans="8:80" x14ac:dyDescent="0.15">
      <c r="H1028" s="140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1"/>
      <c r="AB1028" s="141"/>
      <c r="AC1028" s="141"/>
      <c r="AD1028" s="141"/>
      <c r="AE1028" s="141"/>
      <c r="AF1028" s="141"/>
      <c r="AG1028" s="141"/>
      <c r="AH1028" s="141"/>
      <c r="AI1028" s="141"/>
      <c r="AJ1028" s="141"/>
      <c r="AK1028" s="141"/>
      <c r="AL1028" s="141"/>
      <c r="AM1028" s="141"/>
      <c r="AN1028" s="141"/>
      <c r="AO1028" s="141"/>
      <c r="AP1028" s="141"/>
      <c r="AQ1028" s="141"/>
      <c r="AR1028" s="141"/>
      <c r="AS1028" s="141"/>
      <c r="AT1028" s="141"/>
      <c r="AU1028" s="141"/>
      <c r="AV1028" s="141"/>
      <c r="AW1028" s="141"/>
      <c r="AX1028" s="141"/>
      <c r="AY1028" s="141"/>
      <c r="AZ1028" s="141"/>
      <c r="BA1028" s="141"/>
      <c r="BB1028" s="141"/>
      <c r="BC1028" s="141"/>
      <c r="BD1028" s="141"/>
      <c r="BE1028" s="141"/>
      <c r="BF1028" s="140"/>
      <c r="BG1028" s="139"/>
      <c r="BH1028" s="139"/>
      <c r="BI1028" s="139"/>
      <c r="BJ1028" s="139"/>
      <c r="BK1028" s="139"/>
      <c r="BL1028" s="139"/>
      <c r="BM1028" s="139"/>
      <c r="BN1028" s="139"/>
      <c r="BO1028" s="139"/>
      <c r="BP1028" s="139"/>
      <c r="BQ1028" s="139"/>
      <c r="BR1028" s="139"/>
      <c r="BS1028" s="139"/>
      <c r="BT1028" s="139"/>
      <c r="BU1028" s="139"/>
      <c r="BV1028" s="139"/>
      <c r="BW1028" s="139"/>
      <c r="BX1028" s="139"/>
      <c r="BY1028" s="139"/>
      <c r="BZ1028" s="139"/>
      <c r="CA1028" s="139"/>
      <c r="CB1028" s="142">
        <f t="shared" si="4"/>
        <v>0</v>
      </c>
    </row>
    <row r="1029" spans="8:80" x14ac:dyDescent="0.15">
      <c r="H1029" s="140"/>
      <c r="I1029" s="140"/>
      <c r="J1029" s="140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1"/>
      <c r="AB1029" s="141"/>
      <c r="AC1029" s="141"/>
      <c r="AD1029" s="141"/>
      <c r="AE1029" s="141"/>
      <c r="AF1029" s="141"/>
      <c r="AG1029" s="141"/>
      <c r="AH1029" s="141"/>
      <c r="AI1029" s="141"/>
      <c r="AJ1029" s="141"/>
      <c r="AK1029" s="141"/>
      <c r="AL1029" s="141"/>
      <c r="AM1029" s="141"/>
      <c r="AN1029" s="141"/>
      <c r="AO1029" s="141"/>
      <c r="AP1029" s="141"/>
      <c r="AQ1029" s="141"/>
      <c r="AR1029" s="141"/>
      <c r="AS1029" s="141"/>
      <c r="AT1029" s="141"/>
      <c r="AU1029" s="141"/>
      <c r="AV1029" s="141"/>
      <c r="AW1029" s="141"/>
      <c r="AX1029" s="141"/>
      <c r="AY1029" s="141"/>
      <c r="AZ1029" s="141"/>
      <c r="BA1029" s="141"/>
      <c r="BB1029" s="141"/>
      <c r="BC1029" s="141"/>
      <c r="BD1029" s="141"/>
      <c r="BE1029" s="141"/>
      <c r="BF1029" s="140"/>
      <c r="BG1029" s="139"/>
      <c r="BH1029" s="139"/>
      <c r="BI1029" s="139"/>
      <c r="BJ1029" s="139"/>
      <c r="BK1029" s="139"/>
      <c r="BL1029" s="139"/>
      <c r="BM1029" s="139"/>
      <c r="BN1029" s="139"/>
      <c r="BO1029" s="139"/>
      <c r="BP1029" s="139"/>
      <c r="BQ1029" s="139"/>
      <c r="BR1029" s="139"/>
      <c r="BS1029" s="139"/>
      <c r="BT1029" s="139"/>
      <c r="BU1029" s="139"/>
      <c r="BV1029" s="139"/>
      <c r="BW1029" s="139"/>
      <c r="BX1029" s="139"/>
      <c r="BY1029" s="139"/>
      <c r="BZ1029" s="139"/>
      <c r="CA1029" s="139"/>
      <c r="CB1029" s="142">
        <f t="shared" si="4"/>
        <v>0</v>
      </c>
    </row>
    <row r="1100" spans="8:8" ht="21" x14ac:dyDescent="0.15">
      <c r="H1100" s="143" t="s">
        <v>206</v>
      </c>
    </row>
    <row r="1101" spans="8:8" ht="21" x14ac:dyDescent="0.15">
      <c r="H1101" s="143" t="s">
        <v>207</v>
      </c>
    </row>
    <row r="1102" spans="8:8" ht="21" x14ac:dyDescent="0.15">
      <c r="H1102" s="143" t="s">
        <v>208</v>
      </c>
    </row>
    <row r="1103" spans="8:8" ht="21" x14ac:dyDescent="0.15">
      <c r="H1103" s="143" t="s">
        <v>209</v>
      </c>
    </row>
    <row r="1104" spans="8:8" ht="21" x14ac:dyDescent="0.15">
      <c r="H1104" s="143" t="s">
        <v>210</v>
      </c>
    </row>
    <row r="1105" spans="8:8" ht="21" x14ac:dyDescent="0.15">
      <c r="H1105" s="143" t="s">
        <v>211</v>
      </c>
    </row>
    <row r="1106" spans="8:8" x14ac:dyDescent="0.15">
      <c r="H1106" s="144"/>
    </row>
    <row r="1107" spans="8:8" x14ac:dyDescent="0.15">
      <c r="H1107" s="144"/>
    </row>
    <row r="1108" spans="8:8" x14ac:dyDescent="0.15">
      <c r="H1108" s="14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91" r:id="rId4" name="CommandButton7">
          <controlPr defaultSize="0" print="0" autoLine="0" r:id="rId5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3091" r:id="rId4" name="CommandButton7"/>
      </mc:Fallback>
    </mc:AlternateContent>
    <mc:AlternateContent xmlns:mc="http://schemas.openxmlformats.org/markup-compatibility/2006">
      <mc:Choice Requires="x14">
        <control shapeId="3090" r:id="rId6" name="CommandButton6">
          <controlPr defaultSize="0" print="0" autoLine="0" r:id="rId7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3090" r:id="rId6" name="CommandButton6"/>
      </mc:Fallback>
    </mc:AlternateContent>
    <mc:AlternateContent xmlns:mc="http://schemas.openxmlformats.org/markup-compatibility/2006">
      <mc:Choice Requires="x14">
        <control shapeId="3089" r:id="rId8" name="CommandButton5">
          <controlPr defaultSize="0" print="0" autoLine="0" r:id="rId9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3089" r:id="rId8" name="CommandButton5"/>
      </mc:Fallback>
    </mc:AlternateContent>
    <mc:AlternateContent xmlns:mc="http://schemas.openxmlformats.org/markup-compatibility/2006">
      <mc:Choice Requires="x14">
        <control shapeId="3088" r:id="rId10" name="CommandButton4">
          <controlPr defaultSize="0" print="0" autoLine="0" r:id="rId11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3088" r:id="rId10" name="CommandButton4"/>
      </mc:Fallback>
    </mc:AlternateContent>
    <mc:AlternateContent xmlns:mc="http://schemas.openxmlformats.org/markup-compatibility/2006">
      <mc:Choice Requires="x14">
        <control shapeId="3087" r:id="rId12" name="cmdCopy">
          <controlPr defaultSize="0" print="0" autoLine="0" r:id="rId13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3087" r:id="rId12" name="cmdCopy"/>
      </mc:Fallback>
    </mc:AlternateContent>
    <mc:AlternateContent xmlns:mc="http://schemas.openxmlformats.org/markup-compatibility/2006">
      <mc:Choice Requires="x14">
        <control shapeId="3086" r:id="rId14" name="cmdHeadSet">
          <controlPr defaultSize="0" print="0" autoLine="0" r:id="rId15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3086" r:id="rId14" name="cmdHeadSet"/>
      </mc:Fallback>
    </mc:AlternateContent>
    <mc:AlternateContent xmlns:mc="http://schemas.openxmlformats.org/markup-compatibility/2006">
      <mc:Choice Requires="x14">
        <control shapeId="3085" r:id="rId16" name="CommandButton3">
          <controlPr defaultSize="0" print="0" autoLine="0" r:id="rId17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3085" r:id="rId16" name="CommandButton3"/>
      </mc:Fallback>
    </mc:AlternateContent>
    <mc:AlternateContent xmlns:mc="http://schemas.openxmlformats.org/markup-compatibility/2006">
      <mc:Choice Requires="x14">
        <control shapeId="3084" r:id="rId18" name="CommandButton2">
          <controlPr defaultSize="0" print="0" autoLine="0" r:id="rId19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3084" r:id="rId18" name="CommandButton2"/>
      </mc:Fallback>
    </mc:AlternateContent>
    <mc:AlternateContent xmlns:mc="http://schemas.openxmlformats.org/markup-compatibility/2006">
      <mc:Choice Requires="x14">
        <control shapeId="3083" r:id="rId20" name="CommandButton1">
          <controlPr defaultSize="0" print="0" autoLine="0" r:id="rId21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3083" r:id="rId2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B1:CM1108"/>
  <sheetViews>
    <sheetView showGridLines="0" view="pageBreakPreview" zoomScale="75" zoomScaleNormal="70" workbookViewId="0">
      <pane xSplit="7" ySplit="7" topLeftCell="H8" activePane="bottomRight" state="frozen"/>
      <selection activeCell="A5" sqref="A5"/>
      <selection pane="topRight" activeCell="A5" sqref="A5"/>
      <selection pane="bottomLeft" activeCell="A5" sqref="A5"/>
      <selection pane="bottomRight" activeCell="B4" sqref="B4"/>
    </sheetView>
  </sheetViews>
  <sheetFormatPr defaultRowHeight="13.5" x14ac:dyDescent="0.15"/>
  <cols>
    <col min="1" max="1" width="1.375" customWidth="1"/>
    <col min="2" max="2" width="7" bestFit="1" customWidth="1"/>
    <col min="3" max="4" width="26.875" customWidth="1"/>
    <col min="5" max="5" width="21.875" customWidth="1"/>
    <col min="6" max="6" width="26.75" bestFit="1" customWidth="1"/>
    <col min="7" max="7" width="9.5" customWidth="1"/>
    <col min="8" max="26" width="8.625" customWidth="1"/>
    <col min="27" max="31" width="8.625" style="14" customWidth="1"/>
    <col min="32" max="57" width="8.625" style="14" hidden="1" customWidth="1"/>
    <col min="58" max="58" width="8.625" customWidth="1"/>
    <col min="59" max="59" width="2.875" style="15" customWidth="1"/>
    <col min="60" max="60" width="20.625" style="15" customWidth="1"/>
    <col min="61" max="61" width="1.625" style="15" customWidth="1"/>
    <col min="62" max="79" width="9" style="15"/>
  </cols>
  <sheetData>
    <row r="1" spans="2:91" x14ac:dyDescent="0.15">
      <c r="D1" s="12"/>
      <c r="E1" s="13"/>
      <c r="F1" s="13"/>
    </row>
    <row r="2" spans="2:91" ht="20.100000000000001" customHeight="1" x14ac:dyDescent="0.2">
      <c r="C2" s="16"/>
      <c r="D2" s="17"/>
      <c r="E2" s="17"/>
      <c r="F2" s="17"/>
      <c r="G2" s="16"/>
      <c r="H2" s="16"/>
      <c r="I2" s="18"/>
      <c r="J2" s="15"/>
      <c r="P2" s="19"/>
      <c r="Q2" s="20"/>
      <c r="R2" s="21"/>
      <c r="S2" s="21"/>
      <c r="T2" s="21"/>
      <c r="U2" s="21"/>
      <c r="V2" s="21"/>
      <c r="W2" s="20"/>
      <c r="X2" s="22"/>
      <c r="Y2" s="20"/>
      <c r="Z2" s="20"/>
      <c r="AA2" s="22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1"/>
      <c r="BG2" s="24"/>
      <c r="BH2" s="25"/>
    </row>
    <row r="3" spans="2:91" ht="20.100000000000001" customHeight="1" x14ac:dyDescent="0.2">
      <c r="C3" s="26"/>
      <c r="D3" s="27"/>
      <c r="E3" s="28"/>
      <c r="F3" s="28"/>
      <c r="G3" s="27"/>
      <c r="H3" s="27"/>
      <c r="I3" s="29"/>
      <c r="J3" s="29"/>
      <c r="K3" s="29"/>
      <c r="L3" s="29"/>
      <c r="M3" s="29"/>
      <c r="N3" s="29"/>
      <c r="O3" s="30"/>
      <c r="P3" s="19"/>
      <c r="Q3" s="20"/>
      <c r="R3" s="31"/>
      <c r="S3" s="21"/>
      <c r="T3" s="21"/>
      <c r="U3" s="21"/>
      <c r="V3" s="21"/>
      <c r="W3" s="20"/>
      <c r="X3" s="20"/>
      <c r="Y3" s="20"/>
      <c r="Z3" s="20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1"/>
      <c r="BG3" s="24"/>
      <c r="BH3" s="25"/>
    </row>
    <row r="4" spans="2:91" ht="19.5" customHeight="1" thickBot="1" x14ac:dyDescent="0.2">
      <c r="C4" s="32"/>
      <c r="D4" s="33"/>
      <c r="E4" s="34"/>
      <c r="F4" s="34"/>
      <c r="G4" s="33"/>
      <c r="H4" s="34"/>
      <c r="I4" s="35"/>
      <c r="J4" s="35"/>
      <c r="K4" s="35"/>
      <c r="L4" s="35"/>
      <c r="M4" s="35"/>
      <c r="N4" s="35"/>
      <c r="P4" s="20"/>
      <c r="Q4" s="20"/>
      <c r="R4" s="36"/>
      <c r="S4" s="21"/>
      <c r="T4" s="21"/>
      <c r="U4" s="21"/>
      <c r="V4" s="21"/>
      <c r="W4" s="20"/>
      <c r="X4" s="20"/>
      <c r="Y4" s="20"/>
      <c r="Z4" s="20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1"/>
      <c r="BG4" s="24"/>
      <c r="BH4" s="25"/>
    </row>
    <row r="5" spans="2:91" ht="19.5" customHeight="1" thickBot="1" x14ac:dyDescent="0.2">
      <c r="C5" s="37" t="s">
        <v>0</v>
      </c>
      <c r="D5" s="38" t="str">
        <f>IF(原料情報４!$B1="","",原料情報４!$B1)</f>
        <v/>
      </c>
      <c r="E5" s="39"/>
      <c r="F5" s="39"/>
      <c r="G5" s="40" t="s">
        <v>212</v>
      </c>
      <c r="H5" s="39" t="str">
        <f>IF(原料情報４!$B2="","",原料情報４!$B2)</f>
        <v/>
      </c>
      <c r="I5" s="41"/>
      <c r="J5" s="41"/>
      <c r="K5" s="41"/>
      <c r="L5" s="41"/>
      <c r="M5" s="41"/>
      <c r="N5" s="42"/>
      <c r="O5" s="15"/>
      <c r="P5" s="13"/>
      <c r="Q5" s="13"/>
      <c r="R5" s="24"/>
      <c r="S5" s="24"/>
      <c r="T5" s="24"/>
      <c r="U5" s="24"/>
      <c r="V5" s="24"/>
      <c r="W5" s="13"/>
      <c r="X5" s="13"/>
      <c r="Y5" s="13"/>
      <c r="Z5" s="1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24"/>
      <c r="BG5" s="24"/>
      <c r="BH5" s="25"/>
    </row>
    <row r="6" spans="2:91" ht="17.25" customHeight="1" thickBot="1" x14ac:dyDescent="0.25">
      <c r="C6" s="44"/>
      <c r="D6" s="45"/>
      <c r="E6" s="45"/>
      <c r="F6" s="216"/>
      <c r="G6" s="46"/>
      <c r="H6" s="47"/>
      <c r="I6" s="46"/>
      <c r="J6" s="48"/>
      <c r="K6" s="49"/>
      <c r="L6" s="49"/>
      <c r="M6" s="46"/>
      <c r="N6" s="46"/>
      <c r="O6" s="46"/>
      <c r="P6" s="46"/>
      <c r="Q6" s="15"/>
      <c r="R6" s="46"/>
      <c r="S6" s="18"/>
      <c r="T6" s="15"/>
      <c r="U6" s="15"/>
      <c r="V6" s="15"/>
      <c r="W6" s="15"/>
      <c r="X6" s="15"/>
      <c r="Y6" s="15"/>
      <c r="Z6" s="15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15"/>
      <c r="BH6" s="51"/>
    </row>
    <row r="7" spans="2:91" ht="38.25" customHeight="1" thickBot="1" x14ac:dyDescent="0.2">
      <c r="B7" s="52" t="s">
        <v>132</v>
      </c>
      <c r="C7" s="53" t="s">
        <v>133</v>
      </c>
      <c r="D7" s="150" t="s">
        <v>134</v>
      </c>
      <c r="E7" s="217" t="s">
        <v>135</v>
      </c>
      <c r="F7" s="54" t="s">
        <v>243</v>
      </c>
      <c r="G7" s="55" t="s">
        <v>136</v>
      </c>
      <c r="H7" s="56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8" t="s">
        <v>137</v>
      </c>
      <c r="BG7" s="59"/>
      <c r="BH7" s="60" t="s">
        <v>213</v>
      </c>
      <c r="BI7" s="13"/>
    </row>
    <row r="8" spans="2:91" ht="21.95" customHeight="1" x14ac:dyDescent="0.15">
      <c r="B8" s="61"/>
      <c r="C8" s="62"/>
      <c r="D8" s="64"/>
      <c r="E8" s="63"/>
      <c r="F8" s="64"/>
      <c r="G8" s="65"/>
      <c r="H8" s="200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210"/>
      <c r="BG8" s="146" t="s">
        <v>138</v>
      </c>
      <c r="BH8" s="147" t="str">
        <f>IF(H7="","",H7)</f>
        <v/>
      </c>
      <c r="BI8" s="148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49"/>
      <c r="CA8" s="149"/>
      <c r="CB8" s="149"/>
      <c r="CC8" s="149"/>
      <c r="CD8" s="149"/>
      <c r="CE8" s="149"/>
      <c r="CF8" s="149"/>
      <c r="CG8" s="149"/>
      <c r="CH8" s="149"/>
      <c r="CI8" s="149"/>
      <c r="CJ8" s="149"/>
      <c r="CK8" s="149"/>
      <c r="CL8" s="149"/>
      <c r="CM8" s="149"/>
    </row>
    <row r="9" spans="2:91" ht="21.95" customHeight="1" x14ac:dyDescent="0.15">
      <c r="B9" s="69"/>
      <c r="C9" s="70"/>
      <c r="D9" s="72"/>
      <c r="E9" s="71"/>
      <c r="F9" s="72"/>
      <c r="G9" s="73"/>
      <c r="H9" s="202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203"/>
      <c r="BG9" s="75" t="s">
        <v>139</v>
      </c>
      <c r="BH9" s="76" t="str">
        <f>IF(I7="","",I7)</f>
        <v/>
      </c>
      <c r="BI9" s="13"/>
    </row>
    <row r="10" spans="2:91" ht="21.95" customHeight="1" x14ac:dyDescent="0.15">
      <c r="B10" s="77"/>
      <c r="C10" s="70"/>
      <c r="D10" s="72"/>
      <c r="E10" s="71"/>
      <c r="F10" s="72"/>
      <c r="G10" s="73"/>
      <c r="H10" s="202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203"/>
      <c r="BG10" s="75" t="s">
        <v>140</v>
      </c>
      <c r="BH10" s="76" t="str">
        <f>IF(J7="","",J7)</f>
        <v/>
      </c>
      <c r="BI10" s="13"/>
    </row>
    <row r="11" spans="2:91" ht="21.95" customHeight="1" x14ac:dyDescent="0.15">
      <c r="B11" s="77"/>
      <c r="C11" s="70"/>
      <c r="D11" s="72"/>
      <c r="E11" s="71"/>
      <c r="F11" s="72"/>
      <c r="G11" s="73"/>
      <c r="H11" s="202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203"/>
      <c r="BG11" s="75" t="s">
        <v>141</v>
      </c>
      <c r="BH11" s="76" t="str">
        <f>IF(K7="","",K7)</f>
        <v/>
      </c>
      <c r="BI11" s="13"/>
    </row>
    <row r="12" spans="2:91" ht="21.95" customHeight="1" x14ac:dyDescent="0.15">
      <c r="B12" s="77"/>
      <c r="C12" s="70"/>
      <c r="D12" s="72"/>
      <c r="E12" s="71"/>
      <c r="F12" s="72"/>
      <c r="G12" s="73"/>
      <c r="H12" s="202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203"/>
      <c r="BG12" s="75" t="s">
        <v>142</v>
      </c>
      <c r="BH12" s="76" t="str">
        <f>IF(L7="","",L7)</f>
        <v/>
      </c>
      <c r="BI12" s="13"/>
    </row>
    <row r="13" spans="2:91" ht="21.95" customHeight="1" x14ac:dyDescent="0.15">
      <c r="B13" s="78"/>
      <c r="C13" s="222"/>
      <c r="D13" s="223"/>
      <c r="E13" s="72"/>
      <c r="F13" s="223"/>
      <c r="G13" s="79"/>
      <c r="H13" s="204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203"/>
      <c r="BG13" s="75" t="s">
        <v>143</v>
      </c>
      <c r="BH13" s="76" t="str">
        <f>IF(M7="","",M7)</f>
        <v/>
      </c>
      <c r="BI13" s="13"/>
    </row>
    <row r="14" spans="2:91" ht="21.95" customHeight="1" x14ac:dyDescent="0.15">
      <c r="B14" s="77"/>
      <c r="C14" s="70"/>
      <c r="D14" s="72"/>
      <c r="E14" s="71"/>
      <c r="F14" s="72"/>
      <c r="G14" s="73"/>
      <c r="H14" s="202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203"/>
      <c r="BG14" s="75" t="s">
        <v>144</v>
      </c>
      <c r="BH14" s="76" t="str">
        <f>IF(N7="","",N7)</f>
        <v/>
      </c>
      <c r="BI14" s="13"/>
    </row>
    <row r="15" spans="2:91" ht="21.95" customHeight="1" x14ac:dyDescent="0.15">
      <c r="B15" s="77"/>
      <c r="C15" s="70"/>
      <c r="D15" s="72"/>
      <c r="E15" s="71"/>
      <c r="F15" s="72"/>
      <c r="G15" s="73"/>
      <c r="H15" s="202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203"/>
      <c r="BG15" s="75" t="s">
        <v>145</v>
      </c>
      <c r="BH15" s="76" t="str">
        <f>IF(O7="","",O7)</f>
        <v/>
      </c>
      <c r="BI15" s="13"/>
    </row>
    <row r="16" spans="2:91" ht="21.95" customHeight="1" x14ac:dyDescent="0.15">
      <c r="B16" s="77"/>
      <c r="C16" s="70"/>
      <c r="D16" s="72"/>
      <c r="E16" s="71"/>
      <c r="F16" s="72"/>
      <c r="G16" s="73"/>
      <c r="H16" s="202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203"/>
      <c r="BG16" s="75" t="s">
        <v>146</v>
      </c>
      <c r="BH16" s="76" t="str">
        <f>IF(P7="","",P7)</f>
        <v/>
      </c>
      <c r="BI16" s="13"/>
    </row>
    <row r="17" spans="2:61" ht="21.95" customHeight="1" x14ac:dyDescent="0.15">
      <c r="B17" s="77"/>
      <c r="C17" s="70"/>
      <c r="D17" s="72"/>
      <c r="E17" s="71"/>
      <c r="F17" s="72"/>
      <c r="G17" s="73"/>
      <c r="H17" s="202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203"/>
      <c r="BG17" s="75" t="s">
        <v>147</v>
      </c>
      <c r="BH17" s="76" t="str">
        <f>IF(Q7="","",Q7)</f>
        <v/>
      </c>
      <c r="BI17" s="13"/>
    </row>
    <row r="18" spans="2:61" ht="21.95" customHeight="1" x14ac:dyDescent="0.15">
      <c r="B18" s="77"/>
      <c r="C18" s="81"/>
      <c r="D18" s="83"/>
      <c r="E18" s="82"/>
      <c r="F18" s="83"/>
      <c r="G18" s="73"/>
      <c r="H18" s="202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203"/>
      <c r="BG18" s="75" t="s">
        <v>148</v>
      </c>
      <c r="BH18" s="76" t="str">
        <f>IF(R7="","",R7)</f>
        <v/>
      </c>
      <c r="BI18" s="13"/>
    </row>
    <row r="19" spans="2:61" ht="21.95" customHeight="1" x14ac:dyDescent="0.15">
      <c r="B19" s="77"/>
      <c r="C19" s="84"/>
      <c r="D19" s="86"/>
      <c r="E19" s="85"/>
      <c r="F19" s="86"/>
      <c r="G19" s="73"/>
      <c r="H19" s="202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203"/>
      <c r="BG19" s="75" t="s">
        <v>149</v>
      </c>
      <c r="BH19" s="76" t="str">
        <f>IF(S7="","",S7)</f>
        <v/>
      </c>
      <c r="BI19" s="13"/>
    </row>
    <row r="20" spans="2:61" ht="21.95" customHeight="1" x14ac:dyDescent="0.15">
      <c r="B20" s="77"/>
      <c r="C20" s="70"/>
      <c r="D20" s="72"/>
      <c r="E20" s="71"/>
      <c r="F20" s="72"/>
      <c r="G20" s="73"/>
      <c r="H20" s="202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203"/>
      <c r="BG20" s="75" t="s">
        <v>150</v>
      </c>
      <c r="BH20" s="76" t="str">
        <f>IF(T7="","",T7)</f>
        <v/>
      </c>
      <c r="BI20" s="13"/>
    </row>
    <row r="21" spans="2:61" ht="21.95" customHeight="1" x14ac:dyDescent="0.15">
      <c r="B21" s="77"/>
      <c r="C21" s="70"/>
      <c r="D21" s="72"/>
      <c r="E21" s="71"/>
      <c r="F21" s="72"/>
      <c r="G21" s="73"/>
      <c r="H21" s="202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203"/>
      <c r="BG21" s="75" t="s">
        <v>151</v>
      </c>
      <c r="BH21" s="76" t="str">
        <f>IF(U7="","",U7)</f>
        <v/>
      </c>
      <c r="BI21" s="13"/>
    </row>
    <row r="22" spans="2:61" ht="21.95" customHeight="1" x14ac:dyDescent="0.15">
      <c r="B22" s="77"/>
      <c r="C22" s="70"/>
      <c r="D22" s="72"/>
      <c r="E22" s="71"/>
      <c r="F22" s="72"/>
      <c r="G22" s="73"/>
      <c r="H22" s="202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203"/>
      <c r="BG22" s="75" t="s">
        <v>152</v>
      </c>
      <c r="BH22" s="76" t="str">
        <f>IF(V7="","",V7)</f>
        <v/>
      </c>
      <c r="BI22" s="13"/>
    </row>
    <row r="23" spans="2:61" ht="21.95" customHeight="1" x14ac:dyDescent="0.15">
      <c r="B23" s="77"/>
      <c r="C23" s="70"/>
      <c r="D23" s="72"/>
      <c r="E23" s="71"/>
      <c r="F23" s="72"/>
      <c r="G23" s="73"/>
      <c r="H23" s="202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203"/>
      <c r="BG23" s="75" t="s">
        <v>153</v>
      </c>
      <c r="BH23" s="76" t="str">
        <f>IF(W7="","",W7)</f>
        <v/>
      </c>
      <c r="BI23" s="13"/>
    </row>
    <row r="24" spans="2:61" ht="21.95" customHeight="1" x14ac:dyDescent="0.15">
      <c r="B24" s="77"/>
      <c r="C24" s="70"/>
      <c r="D24" s="72"/>
      <c r="E24" s="71"/>
      <c r="F24" s="72"/>
      <c r="G24" s="73"/>
      <c r="H24" s="202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203"/>
      <c r="BG24" s="75" t="s">
        <v>154</v>
      </c>
      <c r="BH24" s="76" t="str">
        <f>IF(X7="","",X7)</f>
        <v/>
      </c>
      <c r="BI24" s="13"/>
    </row>
    <row r="25" spans="2:61" ht="21.95" customHeight="1" x14ac:dyDescent="0.15">
      <c r="B25" s="77"/>
      <c r="C25" s="70"/>
      <c r="D25" s="72"/>
      <c r="E25" s="71"/>
      <c r="F25" s="72"/>
      <c r="G25" s="73"/>
      <c r="H25" s="202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203"/>
      <c r="BG25" s="75" t="s">
        <v>155</v>
      </c>
      <c r="BH25" s="76" t="str">
        <f>IF(Y7="","",Y7)</f>
        <v/>
      </c>
      <c r="BI25" s="13"/>
    </row>
    <row r="26" spans="2:61" ht="21.95" customHeight="1" x14ac:dyDescent="0.15">
      <c r="B26" s="77"/>
      <c r="C26" s="70"/>
      <c r="D26" s="72"/>
      <c r="E26" s="71"/>
      <c r="F26" s="72"/>
      <c r="G26" s="73"/>
      <c r="H26" s="202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203"/>
      <c r="BG26" s="75" t="s">
        <v>156</v>
      </c>
      <c r="BH26" s="76" t="str">
        <f>IF(Z7="","",Z7)</f>
        <v/>
      </c>
      <c r="BI26" s="13"/>
    </row>
    <row r="27" spans="2:61" ht="21.95" customHeight="1" x14ac:dyDescent="0.15">
      <c r="B27" s="77"/>
      <c r="C27" s="70"/>
      <c r="D27" s="72"/>
      <c r="E27" s="71"/>
      <c r="F27" s="72"/>
      <c r="G27" s="73"/>
      <c r="H27" s="202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203"/>
      <c r="BG27" s="75" t="s">
        <v>157</v>
      </c>
      <c r="BH27" s="76" t="str">
        <f>IF(AA7="","",AA7)</f>
        <v/>
      </c>
      <c r="BI27" s="13"/>
    </row>
    <row r="28" spans="2:61" ht="21.95" customHeight="1" x14ac:dyDescent="0.15">
      <c r="B28" s="77"/>
      <c r="C28" s="70"/>
      <c r="D28" s="72"/>
      <c r="E28" s="71"/>
      <c r="F28" s="72"/>
      <c r="G28" s="73"/>
      <c r="H28" s="202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203"/>
      <c r="BG28" s="75" t="s">
        <v>158</v>
      </c>
      <c r="BH28" s="76" t="str">
        <f>IF(AB7="","",AB7)</f>
        <v/>
      </c>
      <c r="BI28" s="13"/>
    </row>
    <row r="29" spans="2:61" ht="21.95" customHeight="1" x14ac:dyDescent="0.15">
      <c r="B29" s="77"/>
      <c r="C29" s="70"/>
      <c r="D29" s="72"/>
      <c r="E29" s="71"/>
      <c r="F29" s="72"/>
      <c r="G29" s="73"/>
      <c r="H29" s="202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203"/>
      <c r="BG29" s="75" t="s">
        <v>159</v>
      </c>
      <c r="BH29" s="76" t="str">
        <f>IF(AC7="","",AC7)</f>
        <v/>
      </c>
      <c r="BI29" s="13"/>
    </row>
    <row r="30" spans="2:61" ht="21.95" customHeight="1" x14ac:dyDescent="0.15">
      <c r="B30" s="77"/>
      <c r="C30" s="70"/>
      <c r="D30" s="72"/>
      <c r="E30" s="71"/>
      <c r="F30" s="72"/>
      <c r="G30" s="73"/>
      <c r="H30" s="202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203"/>
      <c r="BG30" s="75" t="s">
        <v>160</v>
      </c>
      <c r="BH30" s="76" t="str">
        <f>IF(AD7="","",AD7)</f>
        <v/>
      </c>
      <c r="BI30" s="13"/>
    </row>
    <row r="31" spans="2:61" ht="21.95" customHeight="1" x14ac:dyDescent="0.15">
      <c r="B31" s="77"/>
      <c r="C31" s="70"/>
      <c r="D31" s="72"/>
      <c r="E31" s="71"/>
      <c r="F31" s="72"/>
      <c r="G31" s="73"/>
      <c r="H31" s="202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203"/>
      <c r="BG31" s="75" t="s">
        <v>161</v>
      </c>
      <c r="BH31" s="76" t="str">
        <f>IF(AE7="","",AE7)</f>
        <v/>
      </c>
      <c r="BI31" s="13"/>
    </row>
    <row r="32" spans="2:61" ht="21.95" customHeight="1" x14ac:dyDescent="0.15">
      <c r="B32" s="77"/>
      <c r="C32" s="70"/>
      <c r="D32" s="72"/>
      <c r="E32" s="71"/>
      <c r="F32" s="72"/>
      <c r="G32" s="73"/>
      <c r="H32" s="202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203"/>
      <c r="BG32" s="75" t="s">
        <v>162</v>
      </c>
      <c r="BH32" s="76" t="str">
        <f>IF(AF7="","",AF7)</f>
        <v/>
      </c>
      <c r="BI32" s="13"/>
    </row>
    <row r="33" spans="2:61" ht="21.95" customHeight="1" x14ac:dyDescent="0.15">
      <c r="B33" s="77"/>
      <c r="C33" s="70"/>
      <c r="D33" s="72"/>
      <c r="E33" s="71"/>
      <c r="F33" s="72"/>
      <c r="G33" s="73"/>
      <c r="H33" s="202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203"/>
      <c r="BG33" s="75" t="s">
        <v>163</v>
      </c>
      <c r="BH33" s="76" t="str">
        <f>IF(AG7="","",AG7)</f>
        <v/>
      </c>
      <c r="BI33" s="13"/>
    </row>
    <row r="34" spans="2:61" ht="21.95" customHeight="1" x14ac:dyDescent="0.15">
      <c r="B34" s="77"/>
      <c r="C34" s="70"/>
      <c r="D34" s="72"/>
      <c r="E34" s="71"/>
      <c r="F34" s="72"/>
      <c r="G34" s="73"/>
      <c r="H34" s="202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203"/>
      <c r="BG34" s="75" t="s">
        <v>164</v>
      </c>
      <c r="BH34" s="76" t="str">
        <f>IF(AH7="","",AH7)</f>
        <v/>
      </c>
      <c r="BI34" s="13"/>
    </row>
    <row r="35" spans="2:61" ht="21.95" customHeight="1" x14ac:dyDescent="0.15">
      <c r="B35" s="77"/>
      <c r="C35" s="70"/>
      <c r="D35" s="72"/>
      <c r="E35" s="71"/>
      <c r="F35" s="72"/>
      <c r="G35" s="73"/>
      <c r="H35" s="202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203"/>
      <c r="BG35" s="75" t="s">
        <v>165</v>
      </c>
      <c r="BH35" s="76" t="str">
        <f>IF(AI7="","",AI7)</f>
        <v/>
      </c>
      <c r="BI35" s="13"/>
    </row>
    <row r="36" spans="2:61" ht="21.95" customHeight="1" x14ac:dyDescent="0.15">
      <c r="B36" s="77"/>
      <c r="C36" s="70"/>
      <c r="D36" s="72"/>
      <c r="E36" s="71"/>
      <c r="F36" s="72"/>
      <c r="G36" s="73"/>
      <c r="H36" s="202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203"/>
      <c r="BG36" s="75" t="s">
        <v>166</v>
      </c>
      <c r="BH36" s="76" t="str">
        <f>IF(AJ7="","",AJ7)</f>
        <v/>
      </c>
      <c r="BI36" s="13"/>
    </row>
    <row r="37" spans="2:61" ht="21.95" hidden="1" customHeight="1" x14ac:dyDescent="0.15">
      <c r="B37" s="77"/>
      <c r="C37" s="70"/>
      <c r="D37" s="72"/>
      <c r="E37" s="71"/>
      <c r="F37" s="72"/>
      <c r="G37" s="73"/>
      <c r="H37" s="202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203"/>
      <c r="BG37" s="75" t="s">
        <v>167</v>
      </c>
      <c r="BH37" s="76" t="str">
        <f>IF(BE7="","",BE7)</f>
        <v/>
      </c>
      <c r="BI37" s="13"/>
    </row>
    <row r="38" spans="2:61" ht="21.95" hidden="1" customHeight="1" x14ac:dyDescent="0.15">
      <c r="B38" s="77"/>
      <c r="C38" s="70"/>
      <c r="D38" s="72"/>
      <c r="E38" s="71"/>
      <c r="F38" s="72"/>
      <c r="G38" s="73"/>
      <c r="H38" s="202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203"/>
      <c r="BG38" s="75"/>
      <c r="BH38" s="76"/>
      <c r="BI38" s="13"/>
    </row>
    <row r="39" spans="2:61" ht="21.95" hidden="1" customHeight="1" x14ac:dyDescent="0.15">
      <c r="B39" s="77"/>
      <c r="C39" s="70"/>
      <c r="D39" s="72"/>
      <c r="E39" s="71"/>
      <c r="F39" s="72"/>
      <c r="G39" s="73"/>
      <c r="H39" s="202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203"/>
      <c r="BG39" s="75"/>
      <c r="BH39" s="76"/>
      <c r="BI39" s="13"/>
    </row>
    <row r="40" spans="2:61" ht="21.95" hidden="1" customHeight="1" x14ac:dyDescent="0.15">
      <c r="B40" s="77"/>
      <c r="C40" s="70"/>
      <c r="D40" s="72"/>
      <c r="E40" s="71"/>
      <c r="F40" s="72"/>
      <c r="G40" s="73"/>
      <c r="H40" s="202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203"/>
      <c r="BG40" s="75"/>
      <c r="BH40" s="76"/>
      <c r="BI40" s="13"/>
    </row>
    <row r="41" spans="2:61" ht="21.95" hidden="1" customHeight="1" x14ac:dyDescent="0.15">
      <c r="B41" s="77"/>
      <c r="C41" s="70"/>
      <c r="D41" s="72"/>
      <c r="E41" s="71"/>
      <c r="F41" s="72"/>
      <c r="G41" s="73"/>
      <c r="H41" s="202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203"/>
      <c r="BG41" s="75"/>
      <c r="BH41" s="76"/>
      <c r="BI41" s="13"/>
    </row>
    <row r="42" spans="2:61" ht="21.95" hidden="1" customHeight="1" x14ac:dyDescent="0.15">
      <c r="B42" s="77"/>
      <c r="C42" s="70"/>
      <c r="D42" s="72"/>
      <c r="E42" s="71"/>
      <c r="F42" s="72"/>
      <c r="G42" s="73"/>
      <c r="H42" s="202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203"/>
      <c r="BG42" s="75"/>
      <c r="BH42" s="76"/>
      <c r="BI42" s="13"/>
    </row>
    <row r="43" spans="2:61" ht="21.95" hidden="1" customHeight="1" x14ac:dyDescent="0.15">
      <c r="B43" s="77"/>
      <c r="C43" s="70"/>
      <c r="D43" s="72"/>
      <c r="E43" s="71"/>
      <c r="F43" s="72"/>
      <c r="G43" s="73"/>
      <c r="H43" s="202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203"/>
      <c r="BG43" s="75"/>
      <c r="BH43" s="76"/>
      <c r="BI43" s="13"/>
    </row>
    <row r="44" spans="2:61" ht="21.95" hidden="1" customHeight="1" x14ac:dyDescent="0.15">
      <c r="B44" s="77"/>
      <c r="C44" s="70"/>
      <c r="D44" s="72"/>
      <c r="E44" s="71"/>
      <c r="F44" s="72"/>
      <c r="G44" s="73"/>
      <c r="H44" s="202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203"/>
      <c r="BG44" s="75"/>
      <c r="BH44" s="76"/>
      <c r="BI44" s="13"/>
    </row>
    <row r="45" spans="2:61" ht="21.95" hidden="1" customHeight="1" x14ac:dyDescent="0.15">
      <c r="B45" s="77"/>
      <c r="C45" s="70"/>
      <c r="D45" s="72"/>
      <c r="E45" s="71"/>
      <c r="F45" s="72"/>
      <c r="G45" s="73"/>
      <c r="H45" s="202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203"/>
      <c r="BG45" s="75"/>
      <c r="BH45" s="76"/>
      <c r="BI45" s="13"/>
    </row>
    <row r="46" spans="2:61" ht="21.95" hidden="1" customHeight="1" x14ac:dyDescent="0.15">
      <c r="B46" s="77"/>
      <c r="C46" s="70"/>
      <c r="D46" s="72"/>
      <c r="E46" s="71"/>
      <c r="F46" s="72"/>
      <c r="G46" s="73"/>
      <c r="H46" s="202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203"/>
      <c r="BG46" s="75"/>
      <c r="BH46" s="76"/>
      <c r="BI46" s="13"/>
    </row>
    <row r="47" spans="2:61" ht="21.95" hidden="1" customHeight="1" x14ac:dyDescent="0.15">
      <c r="B47" s="77"/>
      <c r="C47" s="70"/>
      <c r="D47" s="72"/>
      <c r="E47" s="71"/>
      <c r="F47" s="72"/>
      <c r="G47" s="73"/>
      <c r="H47" s="202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203"/>
      <c r="BG47" s="75"/>
      <c r="BH47" s="76"/>
      <c r="BI47" s="13"/>
    </row>
    <row r="48" spans="2:61" ht="21.95" hidden="1" customHeight="1" x14ac:dyDescent="0.15">
      <c r="B48" s="77"/>
      <c r="C48" s="70"/>
      <c r="D48" s="72"/>
      <c r="E48" s="71"/>
      <c r="F48" s="72"/>
      <c r="G48" s="73"/>
      <c r="H48" s="202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203"/>
      <c r="BG48" s="75"/>
      <c r="BH48" s="76"/>
      <c r="BI48" s="13"/>
    </row>
    <row r="49" spans="2:64" ht="21.95" hidden="1" customHeight="1" x14ac:dyDescent="0.15">
      <c r="B49" s="77"/>
      <c r="C49" s="70"/>
      <c r="D49" s="72"/>
      <c r="E49" s="71"/>
      <c r="F49" s="72"/>
      <c r="G49" s="73"/>
      <c r="H49" s="202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203"/>
      <c r="BG49" s="75"/>
      <c r="BH49" s="76"/>
      <c r="BI49" s="13"/>
    </row>
    <row r="50" spans="2:64" ht="21.95" hidden="1" customHeight="1" x14ac:dyDescent="0.15">
      <c r="B50" s="77"/>
      <c r="C50" s="70"/>
      <c r="D50" s="72"/>
      <c r="E50" s="71"/>
      <c r="F50" s="72"/>
      <c r="G50" s="73"/>
      <c r="H50" s="202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203"/>
      <c r="BG50" s="75"/>
      <c r="BH50" s="76"/>
      <c r="BI50" s="13"/>
    </row>
    <row r="51" spans="2:64" ht="21.95" hidden="1" customHeight="1" x14ac:dyDescent="0.15">
      <c r="B51" s="77"/>
      <c r="C51" s="70"/>
      <c r="D51" s="72"/>
      <c r="E51" s="71"/>
      <c r="F51" s="72"/>
      <c r="G51" s="73"/>
      <c r="H51" s="202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203"/>
      <c r="BG51" s="75"/>
      <c r="BH51" s="76"/>
      <c r="BI51" s="13"/>
    </row>
    <row r="52" spans="2:64" ht="21.95" hidden="1" customHeight="1" x14ac:dyDescent="0.15">
      <c r="B52" s="77"/>
      <c r="C52" s="70"/>
      <c r="D52" s="72"/>
      <c r="E52" s="71"/>
      <c r="F52" s="72"/>
      <c r="G52" s="73"/>
      <c r="H52" s="202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203"/>
      <c r="BG52" s="75"/>
      <c r="BH52" s="76"/>
      <c r="BI52" s="13"/>
    </row>
    <row r="53" spans="2:64" ht="21.95" hidden="1" customHeight="1" x14ac:dyDescent="0.15">
      <c r="B53" s="77"/>
      <c r="C53" s="70"/>
      <c r="D53" s="72"/>
      <c r="E53" s="71"/>
      <c r="F53" s="72"/>
      <c r="G53" s="73"/>
      <c r="H53" s="202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203"/>
      <c r="BG53" s="75"/>
      <c r="BH53" s="76"/>
      <c r="BI53" s="13"/>
    </row>
    <row r="54" spans="2:64" ht="21.95" hidden="1" customHeight="1" x14ac:dyDescent="0.15">
      <c r="B54" s="77"/>
      <c r="C54" s="70"/>
      <c r="D54" s="72"/>
      <c r="E54" s="71"/>
      <c r="F54" s="72"/>
      <c r="G54" s="73"/>
      <c r="H54" s="202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203"/>
      <c r="BG54" s="75"/>
      <c r="BH54" s="76" t="s">
        <v>168</v>
      </c>
      <c r="BI54" s="13"/>
    </row>
    <row r="55" spans="2:64" ht="21.95" hidden="1" customHeight="1" x14ac:dyDescent="0.15">
      <c r="B55" s="77"/>
      <c r="C55" s="70"/>
      <c r="D55" s="72"/>
      <c r="E55" s="71"/>
      <c r="F55" s="72"/>
      <c r="G55" s="73"/>
      <c r="H55" s="202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203"/>
      <c r="BG55" s="75" t="s">
        <v>138</v>
      </c>
      <c r="BH55" s="76"/>
      <c r="BI55" s="13"/>
    </row>
    <row r="56" spans="2:64" ht="21.95" hidden="1" customHeight="1" x14ac:dyDescent="0.15">
      <c r="B56" s="77"/>
      <c r="C56" s="70"/>
      <c r="D56" s="72"/>
      <c r="E56" s="71"/>
      <c r="F56" s="72"/>
      <c r="G56" s="73"/>
      <c r="H56" s="202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203"/>
      <c r="BG56" s="75" t="s">
        <v>139</v>
      </c>
      <c r="BH56" s="76"/>
      <c r="BI56" s="13"/>
    </row>
    <row r="57" spans="2:64" ht="21.95" hidden="1" customHeight="1" x14ac:dyDescent="0.15">
      <c r="B57" s="77"/>
      <c r="C57" s="70"/>
      <c r="D57" s="72"/>
      <c r="E57" s="71"/>
      <c r="F57" s="72"/>
      <c r="G57" s="73"/>
      <c r="H57" s="202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203"/>
      <c r="BG57" s="75" t="s">
        <v>140</v>
      </c>
      <c r="BH57" s="76"/>
      <c r="BI57" s="13"/>
    </row>
    <row r="58" spans="2:64" ht="21.95" customHeight="1" thickBot="1" x14ac:dyDescent="0.2">
      <c r="B58" s="87"/>
      <c r="C58" s="88"/>
      <c r="D58" s="157"/>
      <c r="E58" s="218"/>
      <c r="F58" s="157"/>
      <c r="G58" s="73"/>
      <c r="H58" s="206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  <c r="BD58" s="207"/>
      <c r="BE58" s="207"/>
      <c r="BF58" s="208"/>
      <c r="BG58" s="75" t="s">
        <v>141</v>
      </c>
      <c r="BH58" s="76"/>
      <c r="BI58" s="13"/>
    </row>
    <row r="59" spans="2:64" ht="21.95" customHeight="1" x14ac:dyDescent="0.15">
      <c r="B59" s="91"/>
      <c r="C59" s="92"/>
      <c r="D59" s="93"/>
      <c r="E59" s="94" t="s">
        <v>169</v>
      </c>
      <c r="F59" s="94"/>
      <c r="G59" s="95">
        <f>SUM(G8:G58)</f>
        <v>0</v>
      </c>
      <c r="H59" s="96" t="str">
        <f t="shared" ref="H59:AM59" si="0">IF(H7="","",SUM(H8:H58))</f>
        <v/>
      </c>
      <c r="I59" s="97" t="str">
        <f t="shared" si="0"/>
        <v/>
      </c>
      <c r="J59" s="97" t="str">
        <f t="shared" si="0"/>
        <v/>
      </c>
      <c r="K59" s="97" t="str">
        <f t="shared" si="0"/>
        <v/>
      </c>
      <c r="L59" s="97" t="str">
        <f t="shared" si="0"/>
        <v/>
      </c>
      <c r="M59" s="97" t="str">
        <f t="shared" si="0"/>
        <v/>
      </c>
      <c r="N59" s="97" t="str">
        <f t="shared" si="0"/>
        <v/>
      </c>
      <c r="O59" s="97" t="str">
        <f t="shared" si="0"/>
        <v/>
      </c>
      <c r="P59" s="97" t="str">
        <f t="shared" si="0"/>
        <v/>
      </c>
      <c r="Q59" s="97" t="str">
        <f t="shared" si="0"/>
        <v/>
      </c>
      <c r="R59" s="97" t="str">
        <f t="shared" si="0"/>
        <v/>
      </c>
      <c r="S59" s="97" t="str">
        <f t="shared" si="0"/>
        <v/>
      </c>
      <c r="T59" s="97" t="str">
        <f t="shared" si="0"/>
        <v/>
      </c>
      <c r="U59" s="97" t="str">
        <f t="shared" si="0"/>
        <v/>
      </c>
      <c r="V59" s="97" t="str">
        <f t="shared" si="0"/>
        <v/>
      </c>
      <c r="W59" s="97" t="str">
        <f t="shared" si="0"/>
        <v/>
      </c>
      <c r="X59" s="97" t="str">
        <f t="shared" si="0"/>
        <v/>
      </c>
      <c r="Y59" s="97" t="str">
        <f t="shared" si="0"/>
        <v/>
      </c>
      <c r="Z59" s="97" t="str">
        <f t="shared" si="0"/>
        <v/>
      </c>
      <c r="AA59" s="97" t="str">
        <f t="shared" si="0"/>
        <v/>
      </c>
      <c r="AB59" s="97" t="str">
        <f t="shared" si="0"/>
        <v/>
      </c>
      <c r="AC59" s="97" t="str">
        <f t="shared" si="0"/>
        <v/>
      </c>
      <c r="AD59" s="97" t="str">
        <f t="shared" si="0"/>
        <v/>
      </c>
      <c r="AE59" s="97" t="str">
        <f t="shared" si="0"/>
        <v/>
      </c>
      <c r="AF59" s="97" t="str">
        <f t="shared" si="0"/>
        <v/>
      </c>
      <c r="AG59" s="97" t="str">
        <f t="shared" si="0"/>
        <v/>
      </c>
      <c r="AH59" s="97" t="str">
        <f t="shared" si="0"/>
        <v/>
      </c>
      <c r="AI59" s="97" t="str">
        <f t="shared" si="0"/>
        <v/>
      </c>
      <c r="AJ59" s="97" t="str">
        <f t="shared" si="0"/>
        <v/>
      </c>
      <c r="AK59" s="97" t="str">
        <f t="shared" si="0"/>
        <v/>
      </c>
      <c r="AL59" s="97" t="str">
        <f t="shared" si="0"/>
        <v/>
      </c>
      <c r="AM59" s="97" t="str">
        <f t="shared" si="0"/>
        <v/>
      </c>
      <c r="AN59" s="97" t="str">
        <f t="shared" ref="AN59:BF59" si="1">IF(AN7="","",SUM(AN8:AN58))</f>
        <v/>
      </c>
      <c r="AO59" s="97" t="str">
        <f t="shared" si="1"/>
        <v/>
      </c>
      <c r="AP59" s="97" t="str">
        <f t="shared" si="1"/>
        <v/>
      </c>
      <c r="AQ59" s="97" t="str">
        <f t="shared" si="1"/>
        <v/>
      </c>
      <c r="AR59" s="97" t="str">
        <f t="shared" si="1"/>
        <v/>
      </c>
      <c r="AS59" s="97" t="str">
        <f t="shared" si="1"/>
        <v/>
      </c>
      <c r="AT59" s="97" t="str">
        <f t="shared" si="1"/>
        <v/>
      </c>
      <c r="AU59" s="97" t="str">
        <f t="shared" si="1"/>
        <v/>
      </c>
      <c r="AV59" s="97" t="str">
        <f t="shared" si="1"/>
        <v/>
      </c>
      <c r="AW59" s="97" t="str">
        <f t="shared" si="1"/>
        <v/>
      </c>
      <c r="AX59" s="97" t="str">
        <f t="shared" si="1"/>
        <v/>
      </c>
      <c r="AY59" s="97" t="str">
        <f t="shared" si="1"/>
        <v/>
      </c>
      <c r="AZ59" s="97" t="str">
        <f t="shared" si="1"/>
        <v/>
      </c>
      <c r="BA59" s="97" t="str">
        <f t="shared" si="1"/>
        <v/>
      </c>
      <c r="BB59" s="97" t="str">
        <f t="shared" si="1"/>
        <v/>
      </c>
      <c r="BC59" s="97" t="str">
        <f t="shared" si="1"/>
        <v/>
      </c>
      <c r="BD59" s="97" t="str">
        <f t="shared" si="1"/>
        <v/>
      </c>
      <c r="BE59" s="97" t="str">
        <f t="shared" si="1"/>
        <v/>
      </c>
      <c r="BF59" s="97">
        <f t="shared" si="1"/>
        <v>0</v>
      </c>
      <c r="BG59" s="75" t="s">
        <v>142</v>
      </c>
      <c r="BH59" s="76"/>
      <c r="BI59" s="13"/>
    </row>
    <row r="60" spans="2:64" ht="21.95" customHeight="1" x14ac:dyDescent="0.15">
      <c r="B60" s="98"/>
      <c r="C60" s="29"/>
      <c r="D60" s="99"/>
      <c r="E60" s="100" t="s">
        <v>170</v>
      </c>
      <c r="F60" s="212"/>
      <c r="G60" s="101" t="e">
        <f>SUM(H60:BF60)</f>
        <v>#DIV/0!</v>
      </c>
      <c r="H60" s="102">
        <f t="shared" ref="H60:AM60" si="2">IF(H7="",0,H59/$G$59)</f>
        <v>0</v>
      </c>
      <c r="I60" s="102">
        <f t="shared" si="2"/>
        <v>0</v>
      </c>
      <c r="J60" s="102">
        <f t="shared" si="2"/>
        <v>0</v>
      </c>
      <c r="K60" s="102">
        <f t="shared" si="2"/>
        <v>0</v>
      </c>
      <c r="L60" s="102">
        <f t="shared" si="2"/>
        <v>0</v>
      </c>
      <c r="M60" s="102">
        <f t="shared" si="2"/>
        <v>0</v>
      </c>
      <c r="N60" s="102">
        <f t="shared" si="2"/>
        <v>0</v>
      </c>
      <c r="O60" s="102">
        <f t="shared" si="2"/>
        <v>0</v>
      </c>
      <c r="P60" s="102">
        <f t="shared" si="2"/>
        <v>0</v>
      </c>
      <c r="Q60" s="102">
        <f t="shared" si="2"/>
        <v>0</v>
      </c>
      <c r="R60" s="102">
        <f t="shared" si="2"/>
        <v>0</v>
      </c>
      <c r="S60" s="102">
        <f t="shared" si="2"/>
        <v>0</v>
      </c>
      <c r="T60" s="102">
        <f t="shared" si="2"/>
        <v>0</v>
      </c>
      <c r="U60" s="102">
        <f t="shared" si="2"/>
        <v>0</v>
      </c>
      <c r="V60" s="102">
        <f t="shared" si="2"/>
        <v>0</v>
      </c>
      <c r="W60" s="102">
        <f t="shared" si="2"/>
        <v>0</v>
      </c>
      <c r="X60" s="102">
        <f t="shared" si="2"/>
        <v>0</v>
      </c>
      <c r="Y60" s="102">
        <f t="shared" si="2"/>
        <v>0</v>
      </c>
      <c r="Z60" s="102">
        <f t="shared" si="2"/>
        <v>0</v>
      </c>
      <c r="AA60" s="102">
        <f t="shared" si="2"/>
        <v>0</v>
      </c>
      <c r="AB60" s="102">
        <f t="shared" si="2"/>
        <v>0</v>
      </c>
      <c r="AC60" s="102">
        <f t="shared" si="2"/>
        <v>0</v>
      </c>
      <c r="AD60" s="102">
        <f t="shared" si="2"/>
        <v>0</v>
      </c>
      <c r="AE60" s="102">
        <f t="shared" si="2"/>
        <v>0</v>
      </c>
      <c r="AF60" s="102">
        <f t="shared" si="2"/>
        <v>0</v>
      </c>
      <c r="AG60" s="102">
        <f t="shared" si="2"/>
        <v>0</v>
      </c>
      <c r="AH60" s="102">
        <f t="shared" si="2"/>
        <v>0</v>
      </c>
      <c r="AI60" s="102">
        <f t="shared" si="2"/>
        <v>0</v>
      </c>
      <c r="AJ60" s="102">
        <f t="shared" si="2"/>
        <v>0</v>
      </c>
      <c r="AK60" s="102">
        <f t="shared" si="2"/>
        <v>0</v>
      </c>
      <c r="AL60" s="102">
        <f t="shared" si="2"/>
        <v>0</v>
      </c>
      <c r="AM60" s="102">
        <f t="shared" si="2"/>
        <v>0</v>
      </c>
      <c r="AN60" s="102">
        <f t="shared" ref="AN60:BF60" si="3">IF(AN7="",0,AN59/$G$59)</f>
        <v>0</v>
      </c>
      <c r="AO60" s="102">
        <f t="shared" si="3"/>
        <v>0</v>
      </c>
      <c r="AP60" s="102">
        <f t="shared" si="3"/>
        <v>0</v>
      </c>
      <c r="AQ60" s="102">
        <f t="shared" si="3"/>
        <v>0</v>
      </c>
      <c r="AR60" s="102">
        <f t="shared" si="3"/>
        <v>0</v>
      </c>
      <c r="AS60" s="102">
        <f t="shared" si="3"/>
        <v>0</v>
      </c>
      <c r="AT60" s="102">
        <f t="shared" si="3"/>
        <v>0</v>
      </c>
      <c r="AU60" s="102">
        <f t="shared" si="3"/>
        <v>0</v>
      </c>
      <c r="AV60" s="102">
        <f t="shared" si="3"/>
        <v>0</v>
      </c>
      <c r="AW60" s="102">
        <f t="shared" si="3"/>
        <v>0</v>
      </c>
      <c r="AX60" s="102">
        <f t="shared" si="3"/>
        <v>0</v>
      </c>
      <c r="AY60" s="102">
        <f t="shared" si="3"/>
        <v>0</v>
      </c>
      <c r="AZ60" s="102">
        <f t="shared" si="3"/>
        <v>0</v>
      </c>
      <c r="BA60" s="102">
        <f t="shared" si="3"/>
        <v>0</v>
      </c>
      <c r="BB60" s="102">
        <f t="shared" si="3"/>
        <v>0</v>
      </c>
      <c r="BC60" s="102">
        <f t="shared" si="3"/>
        <v>0</v>
      </c>
      <c r="BD60" s="102">
        <f t="shared" si="3"/>
        <v>0</v>
      </c>
      <c r="BE60" s="102">
        <f t="shared" si="3"/>
        <v>0</v>
      </c>
      <c r="BF60" s="102" t="e">
        <f t="shared" si="3"/>
        <v>#DIV/0!</v>
      </c>
      <c r="BG60" s="75" t="s">
        <v>143</v>
      </c>
      <c r="BH60" s="76"/>
      <c r="BI60" s="13"/>
    </row>
    <row r="61" spans="2:64" ht="21.95" customHeight="1" thickBot="1" x14ac:dyDescent="0.2">
      <c r="B61" s="103"/>
      <c r="C61" s="35"/>
      <c r="D61" s="104"/>
      <c r="E61" s="35" t="s">
        <v>171</v>
      </c>
      <c r="F61" s="35"/>
      <c r="G61" s="105"/>
      <c r="H61" s="106">
        <v>1</v>
      </c>
      <c r="I61" s="107">
        <v>2</v>
      </c>
      <c r="J61" s="107">
        <v>3</v>
      </c>
      <c r="K61" s="107">
        <v>4</v>
      </c>
      <c r="L61" s="108">
        <v>5</v>
      </c>
      <c r="M61" s="108">
        <v>6</v>
      </c>
      <c r="N61" s="108">
        <v>7</v>
      </c>
      <c r="O61" s="108">
        <v>8</v>
      </c>
      <c r="P61" s="108">
        <v>9</v>
      </c>
      <c r="Q61" s="108">
        <v>10</v>
      </c>
      <c r="R61" s="108">
        <v>11</v>
      </c>
      <c r="S61" s="108">
        <v>12</v>
      </c>
      <c r="T61" s="108">
        <v>13</v>
      </c>
      <c r="U61" s="108">
        <v>14</v>
      </c>
      <c r="V61" s="108">
        <v>15</v>
      </c>
      <c r="W61" s="108">
        <v>16</v>
      </c>
      <c r="X61" s="108">
        <v>17</v>
      </c>
      <c r="Y61" s="108">
        <v>18</v>
      </c>
      <c r="Z61" s="108">
        <v>19</v>
      </c>
      <c r="AA61" s="108">
        <v>20</v>
      </c>
      <c r="AB61" s="108">
        <v>21</v>
      </c>
      <c r="AC61" s="108">
        <v>22</v>
      </c>
      <c r="AD61" s="108">
        <v>23</v>
      </c>
      <c r="AE61" s="108">
        <v>24</v>
      </c>
      <c r="AF61" s="108">
        <v>25</v>
      </c>
      <c r="AG61" s="108">
        <v>26</v>
      </c>
      <c r="AH61" s="108">
        <v>27</v>
      </c>
      <c r="AI61" s="108">
        <v>28</v>
      </c>
      <c r="AJ61" s="108">
        <v>29</v>
      </c>
      <c r="AK61" s="108">
        <v>30</v>
      </c>
      <c r="AL61" s="108">
        <v>31</v>
      </c>
      <c r="AM61" s="108">
        <v>32</v>
      </c>
      <c r="AN61" s="108">
        <v>33</v>
      </c>
      <c r="AO61" s="108">
        <v>34</v>
      </c>
      <c r="AP61" s="108">
        <v>35</v>
      </c>
      <c r="AQ61" s="108">
        <v>36</v>
      </c>
      <c r="AR61" s="108">
        <v>37</v>
      </c>
      <c r="AS61" s="108">
        <v>38</v>
      </c>
      <c r="AT61" s="108">
        <v>39</v>
      </c>
      <c r="AU61" s="108">
        <v>40</v>
      </c>
      <c r="AV61" s="108">
        <v>41</v>
      </c>
      <c r="AW61" s="108">
        <v>42</v>
      </c>
      <c r="AX61" s="108">
        <v>43</v>
      </c>
      <c r="AY61" s="108">
        <v>44</v>
      </c>
      <c r="AZ61" s="108">
        <v>45</v>
      </c>
      <c r="BA61" s="108">
        <v>46</v>
      </c>
      <c r="BB61" s="108">
        <v>47</v>
      </c>
      <c r="BC61" s="108">
        <v>48</v>
      </c>
      <c r="BD61" s="108">
        <v>49</v>
      </c>
      <c r="BE61" s="108">
        <v>50</v>
      </c>
      <c r="BF61" s="108">
        <v>51</v>
      </c>
      <c r="BG61" s="109"/>
      <c r="BH61" s="110"/>
      <c r="BI61" s="13"/>
      <c r="BJ61" s="13"/>
      <c r="BK61" s="13"/>
      <c r="BL61" s="13"/>
    </row>
    <row r="62" spans="2:64" ht="14.25" thickBot="1" x14ac:dyDescent="0.2">
      <c r="D62" s="111"/>
      <c r="E62" s="112"/>
      <c r="F62" s="111"/>
      <c r="BH62" s="13"/>
      <c r="BI62" s="13"/>
    </row>
    <row r="63" spans="2:64" ht="20.100000000000001" customHeight="1" x14ac:dyDescent="0.15">
      <c r="D63" s="20"/>
      <c r="E63" s="91" t="s">
        <v>172</v>
      </c>
      <c r="F63" s="113"/>
      <c r="G63" s="113"/>
      <c r="H63" s="91" t="s">
        <v>173</v>
      </c>
      <c r="I63" s="113"/>
      <c r="J63" s="113"/>
      <c r="K63" s="113"/>
      <c r="L63" s="113"/>
      <c r="M63" s="114"/>
      <c r="N63" s="115"/>
      <c r="O63" s="29"/>
      <c r="R63" s="116" t="s">
        <v>214</v>
      </c>
      <c r="S63" s="226">
        <f ca="1">TODAY()</f>
        <v>45106</v>
      </c>
      <c r="T63" s="226"/>
      <c r="U63" s="117"/>
      <c r="V63" s="117"/>
      <c r="W63" s="117"/>
      <c r="X63" s="117"/>
      <c r="Y63" s="117"/>
      <c r="Z63" s="117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H63" s="13"/>
      <c r="BI63" s="13"/>
    </row>
    <row r="64" spans="2:64" ht="20.100000000000001" customHeight="1" thickBot="1" x14ac:dyDescent="0.25">
      <c r="C64" s="119"/>
      <c r="E64" s="120"/>
      <c r="F64" s="127"/>
      <c r="G64" s="121"/>
      <c r="H64" s="122"/>
      <c r="I64" s="121"/>
      <c r="J64" s="35"/>
      <c r="K64" s="123"/>
      <c r="L64" s="123"/>
      <c r="M64" s="124"/>
      <c r="N64" s="115"/>
      <c r="O64" s="29"/>
      <c r="R64" s="29" t="s">
        <v>215</v>
      </c>
      <c r="S64" s="29"/>
      <c r="T64" s="125"/>
      <c r="U64" s="126"/>
      <c r="V64" s="127"/>
      <c r="W64" s="127" t="s">
        <v>174</v>
      </c>
      <c r="X64" s="128"/>
      <c r="Y64" s="128"/>
      <c r="Z64" s="128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I64" s="13"/>
    </row>
    <row r="65" spans="3:61" ht="20.100000000000001" customHeight="1" thickBot="1" x14ac:dyDescent="0.2">
      <c r="C65" s="130"/>
      <c r="E65" s="122" t="s">
        <v>175</v>
      </c>
      <c r="F65" s="35"/>
      <c r="G65" s="121"/>
      <c r="H65" s="122" t="s">
        <v>176</v>
      </c>
      <c r="I65" s="121"/>
      <c r="J65" s="35"/>
      <c r="K65" s="131" t="s">
        <v>177</v>
      </c>
      <c r="L65" s="121"/>
      <c r="M65" s="132"/>
      <c r="N65" s="98"/>
      <c r="O65" s="19"/>
      <c r="R65" s="117"/>
      <c r="S65" s="117"/>
      <c r="T65" s="117"/>
      <c r="U65" s="117"/>
      <c r="V65" s="117"/>
      <c r="W65" s="117"/>
      <c r="X65" s="117"/>
      <c r="Y65" s="117"/>
      <c r="Z65" s="117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I65" s="13"/>
    </row>
    <row r="66" spans="3:61" ht="15" thickBot="1" x14ac:dyDescent="0.2">
      <c r="E66" s="133" t="s">
        <v>185</v>
      </c>
      <c r="F66" s="213"/>
      <c r="G66" s="134"/>
      <c r="H66" s="135"/>
      <c r="I66" s="136"/>
      <c r="J66" s="136"/>
      <c r="K66" s="136"/>
      <c r="L66" s="136"/>
      <c r="M66" s="134"/>
      <c r="BI66" s="13"/>
    </row>
    <row r="67" spans="3:61" ht="15" thickBot="1" x14ac:dyDescent="0.2">
      <c r="E67" s="137" t="s">
        <v>178</v>
      </c>
      <c r="F67" s="214"/>
      <c r="G67" s="134"/>
      <c r="H67" s="135"/>
      <c r="I67" s="136"/>
      <c r="J67" s="136"/>
      <c r="K67" s="136"/>
      <c r="L67" s="136"/>
      <c r="M67" s="134"/>
      <c r="BI67" s="13"/>
    </row>
    <row r="68" spans="3:61" ht="15" thickBot="1" x14ac:dyDescent="0.2">
      <c r="E68" s="138" t="s">
        <v>2</v>
      </c>
      <c r="F68" s="215"/>
      <c r="G68" s="134"/>
      <c r="H68" s="135"/>
      <c r="I68" s="136"/>
      <c r="J68" s="136"/>
      <c r="K68" s="136"/>
      <c r="L68" s="136"/>
      <c r="M68" s="134"/>
      <c r="BI68" s="13"/>
    </row>
    <row r="69" spans="3:61" x14ac:dyDescent="0.15">
      <c r="BI69" s="13"/>
    </row>
    <row r="70" spans="3:61" x14ac:dyDescent="0.15">
      <c r="BI70" s="13"/>
    </row>
    <row r="71" spans="3:61" x14ac:dyDescent="0.15">
      <c r="BI71" s="13"/>
    </row>
    <row r="72" spans="3:61" x14ac:dyDescent="0.15">
      <c r="BI72" s="13"/>
    </row>
    <row r="73" spans="3:61" x14ac:dyDescent="0.15">
      <c r="BI73" s="13"/>
    </row>
    <row r="74" spans="3:61" x14ac:dyDescent="0.15">
      <c r="BI74" s="13"/>
    </row>
    <row r="75" spans="3:61" x14ac:dyDescent="0.15">
      <c r="BI75" s="13"/>
    </row>
    <row r="76" spans="3:61" x14ac:dyDescent="0.15">
      <c r="BI76" s="13"/>
    </row>
    <row r="77" spans="3:61" x14ac:dyDescent="0.15">
      <c r="BI77" s="13"/>
    </row>
    <row r="78" spans="3:61" x14ac:dyDescent="0.15">
      <c r="BI78" s="13"/>
    </row>
    <row r="79" spans="3:61" x14ac:dyDescent="0.15">
      <c r="BI79" s="13"/>
    </row>
    <row r="80" spans="3:61" x14ac:dyDescent="0.15">
      <c r="BI80" s="13"/>
    </row>
    <row r="81" spans="61:61" x14ac:dyDescent="0.15">
      <c r="BI81" s="13"/>
    </row>
    <row r="120" spans="66:66" x14ac:dyDescent="0.15">
      <c r="BN120" s="139">
        <v>97</v>
      </c>
    </row>
    <row r="121" spans="66:66" x14ac:dyDescent="0.15">
      <c r="BN121" s="139">
        <v>45</v>
      </c>
    </row>
    <row r="122" spans="66:66" x14ac:dyDescent="0.15">
      <c r="BN122" s="139">
        <v>34</v>
      </c>
    </row>
    <row r="123" spans="66:66" x14ac:dyDescent="0.15">
      <c r="BN123" s="139">
        <v>0</v>
      </c>
    </row>
    <row r="124" spans="66:66" x14ac:dyDescent="0.15">
      <c r="BN124" s="139">
        <v>0</v>
      </c>
    </row>
    <row r="125" spans="66:66" x14ac:dyDescent="0.15">
      <c r="BN125" s="139">
        <v>0</v>
      </c>
    </row>
    <row r="126" spans="66:66" x14ac:dyDescent="0.15">
      <c r="BN126" s="139">
        <v>0</v>
      </c>
    </row>
    <row r="127" spans="66:66" x14ac:dyDescent="0.15">
      <c r="BN127" s="139">
        <v>0</v>
      </c>
    </row>
    <row r="128" spans="66:66" x14ac:dyDescent="0.15">
      <c r="BN128" s="139">
        <v>0</v>
      </c>
    </row>
    <row r="129" spans="66:66" x14ac:dyDescent="0.15">
      <c r="BN129" s="139">
        <v>0</v>
      </c>
    </row>
    <row r="130" spans="66:66" x14ac:dyDescent="0.15">
      <c r="BN130" s="139">
        <v>0</v>
      </c>
    </row>
    <row r="131" spans="66:66" x14ac:dyDescent="0.15">
      <c r="BN131" s="139">
        <v>0</v>
      </c>
    </row>
    <row r="132" spans="66:66" x14ac:dyDescent="0.15">
      <c r="BN132" s="139">
        <v>0</v>
      </c>
    </row>
    <row r="133" spans="66:66" x14ac:dyDescent="0.15">
      <c r="BN133" s="139">
        <v>0</v>
      </c>
    </row>
    <row r="134" spans="66:66" x14ac:dyDescent="0.15">
      <c r="BN134" s="139">
        <v>0</v>
      </c>
    </row>
    <row r="135" spans="66:66" x14ac:dyDescent="0.15">
      <c r="BN135" s="139">
        <v>0</v>
      </c>
    </row>
    <row r="136" spans="66:66" x14ac:dyDescent="0.15">
      <c r="BN136" s="139">
        <v>0</v>
      </c>
    </row>
    <row r="137" spans="66:66" x14ac:dyDescent="0.15">
      <c r="BN137" s="139">
        <v>0</v>
      </c>
    </row>
    <row r="138" spans="66:66" x14ac:dyDescent="0.15">
      <c r="BN138" s="139">
        <v>0</v>
      </c>
    </row>
    <row r="139" spans="66:66" x14ac:dyDescent="0.15">
      <c r="BN139" s="139">
        <v>0</v>
      </c>
    </row>
    <row r="140" spans="66:66" x14ac:dyDescent="0.15">
      <c r="BN140" s="139">
        <v>0</v>
      </c>
    </row>
    <row r="141" spans="66:66" x14ac:dyDescent="0.15">
      <c r="BN141" s="139">
        <v>0</v>
      </c>
    </row>
    <row r="142" spans="66:66" x14ac:dyDescent="0.15">
      <c r="BN142" s="139">
        <v>0</v>
      </c>
    </row>
    <row r="143" spans="66:66" x14ac:dyDescent="0.15">
      <c r="BN143" s="139">
        <v>0</v>
      </c>
    </row>
    <row r="144" spans="66:66" x14ac:dyDescent="0.15">
      <c r="BN144" s="139">
        <v>0</v>
      </c>
    </row>
    <row r="145" spans="66:66" x14ac:dyDescent="0.15">
      <c r="BN145" s="139">
        <v>0</v>
      </c>
    </row>
    <row r="146" spans="66:66" x14ac:dyDescent="0.15">
      <c r="BN146" s="139">
        <v>0</v>
      </c>
    </row>
    <row r="147" spans="66:66" x14ac:dyDescent="0.15">
      <c r="BN147" s="139">
        <v>0</v>
      </c>
    </row>
    <row r="148" spans="66:66" x14ac:dyDescent="0.15">
      <c r="BN148" s="139">
        <v>0</v>
      </c>
    </row>
    <row r="149" spans="66:66" x14ac:dyDescent="0.15">
      <c r="BN149" s="139">
        <v>0</v>
      </c>
    </row>
    <row r="150" spans="66:66" x14ac:dyDescent="0.15">
      <c r="BN150" s="139">
        <v>0</v>
      </c>
    </row>
    <row r="151" spans="66:66" x14ac:dyDescent="0.15">
      <c r="BN151" s="139">
        <v>0</v>
      </c>
    </row>
    <row r="152" spans="66:66" x14ac:dyDescent="0.15">
      <c r="BN152" s="139">
        <v>0</v>
      </c>
    </row>
    <row r="153" spans="66:66" x14ac:dyDescent="0.15">
      <c r="BN153" s="139">
        <v>0</v>
      </c>
    </row>
    <row r="154" spans="66:66" x14ac:dyDescent="0.15">
      <c r="BN154" s="139">
        <v>0</v>
      </c>
    </row>
    <row r="155" spans="66:66" x14ac:dyDescent="0.15">
      <c r="BN155" s="139">
        <v>0</v>
      </c>
    </row>
    <row r="156" spans="66:66" x14ac:dyDescent="0.15">
      <c r="BN156" s="139">
        <v>0</v>
      </c>
    </row>
    <row r="157" spans="66:66" x14ac:dyDescent="0.15">
      <c r="BN157" s="139">
        <v>0</v>
      </c>
    </row>
    <row r="158" spans="66:66" x14ac:dyDescent="0.15">
      <c r="BN158" s="139">
        <v>0</v>
      </c>
    </row>
    <row r="159" spans="66:66" x14ac:dyDescent="0.15">
      <c r="BN159" s="139">
        <v>0</v>
      </c>
    </row>
    <row r="160" spans="66:66" x14ac:dyDescent="0.15">
      <c r="BN160" s="139">
        <v>0</v>
      </c>
    </row>
    <row r="161" spans="66:66" x14ac:dyDescent="0.15">
      <c r="BN161" s="139">
        <v>0</v>
      </c>
    </row>
    <row r="266" spans="8:15" x14ac:dyDescent="0.15">
      <c r="H266" t="s">
        <v>179</v>
      </c>
      <c r="I266" t="s">
        <v>179</v>
      </c>
      <c r="J266" t="s">
        <v>179</v>
      </c>
      <c r="K266" t="s">
        <v>179</v>
      </c>
      <c r="L266" t="s">
        <v>179</v>
      </c>
      <c r="M266" t="s">
        <v>179</v>
      </c>
      <c r="N266" t="s">
        <v>179</v>
      </c>
      <c r="O266" t="s">
        <v>179</v>
      </c>
    </row>
    <row r="1000" spans="8:80" x14ac:dyDescent="0.15">
      <c r="H1000" s="140"/>
      <c r="I1000" s="140"/>
      <c r="J1000" s="140"/>
      <c r="K1000" s="140"/>
      <c r="L1000" s="140"/>
      <c r="M1000" s="140"/>
      <c r="N1000" s="140"/>
      <c r="O1000" s="140"/>
      <c r="P1000" s="140"/>
      <c r="Q1000" s="140"/>
      <c r="R1000" s="140"/>
      <c r="S1000" s="140"/>
      <c r="T1000" s="140"/>
      <c r="U1000" s="140"/>
      <c r="V1000" s="140"/>
      <c r="W1000" s="140"/>
      <c r="X1000" s="140"/>
      <c r="Y1000" s="140"/>
      <c r="Z1000" s="140"/>
      <c r="AA1000" s="141"/>
      <c r="AB1000" s="141"/>
      <c r="AC1000" s="141"/>
      <c r="AD1000" s="141"/>
      <c r="AE1000" s="141"/>
      <c r="AF1000" s="141"/>
      <c r="AG1000" s="141"/>
      <c r="AH1000" s="141"/>
      <c r="AI1000" s="141"/>
      <c r="AJ1000" s="141"/>
      <c r="AK1000" s="141"/>
      <c r="AL1000" s="141"/>
      <c r="AM1000" s="141"/>
      <c r="AN1000" s="141"/>
      <c r="AO1000" s="141"/>
      <c r="AP1000" s="141"/>
      <c r="AQ1000" s="141"/>
      <c r="AR1000" s="141"/>
      <c r="AS1000" s="141"/>
      <c r="AT1000" s="141"/>
      <c r="AU1000" s="141"/>
      <c r="AV1000" s="141"/>
      <c r="AW1000" s="141"/>
      <c r="AX1000" s="141"/>
      <c r="AY1000" s="141"/>
      <c r="AZ1000" s="141"/>
      <c r="BA1000" s="141"/>
      <c r="BB1000" s="141"/>
      <c r="BC1000" s="141"/>
      <c r="BD1000" s="141"/>
      <c r="BE1000" s="141"/>
      <c r="BF1000" s="140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42">
        <f t="shared" ref="CB1000:CB1029" si="4">SUM(I1000:CA1000)</f>
        <v>0</v>
      </c>
    </row>
    <row r="1001" spans="8:80" x14ac:dyDescent="0.15">
      <c r="H1001" s="140"/>
      <c r="I1001" s="140"/>
      <c r="J1001" s="140"/>
      <c r="K1001" s="140"/>
      <c r="L1001" s="140"/>
      <c r="M1001" s="140"/>
      <c r="N1001" s="140"/>
      <c r="O1001" s="140"/>
      <c r="P1001" s="140"/>
      <c r="Q1001" s="140"/>
      <c r="R1001" s="140"/>
      <c r="S1001" s="140"/>
      <c r="T1001" s="140"/>
      <c r="U1001" s="140"/>
      <c r="V1001" s="140"/>
      <c r="W1001" s="140"/>
      <c r="X1001" s="140"/>
      <c r="Y1001" s="140"/>
      <c r="Z1001" s="140"/>
      <c r="AA1001" s="141"/>
      <c r="AB1001" s="141"/>
      <c r="AC1001" s="141"/>
      <c r="AD1001" s="141"/>
      <c r="AE1001" s="141"/>
      <c r="AF1001" s="141"/>
      <c r="AG1001" s="141"/>
      <c r="AH1001" s="141"/>
      <c r="AI1001" s="141"/>
      <c r="AJ1001" s="141"/>
      <c r="AK1001" s="141"/>
      <c r="AL1001" s="141"/>
      <c r="AM1001" s="141"/>
      <c r="AN1001" s="141"/>
      <c r="AO1001" s="141"/>
      <c r="AP1001" s="141"/>
      <c r="AQ1001" s="141"/>
      <c r="AR1001" s="141"/>
      <c r="AS1001" s="141"/>
      <c r="AT1001" s="141"/>
      <c r="AU1001" s="141"/>
      <c r="AV1001" s="141"/>
      <c r="AW1001" s="141"/>
      <c r="AX1001" s="141"/>
      <c r="AY1001" s="141"/>
      <c r="AZ1001" s="141"/>
      <c r="BA1001" s="141"/>
      <c r="BB1001" s="141"/>
      <c r="BC1001" s="141"/>
      <c r="BD1001" s="141"/>
      <c r="BE1001" s="141"/>
      <c r="BF1001" s="140"/>
      <c r="BG1001" s="139"/>
      <c r="BH1001" s="139"/>
      <c r="BI1001" s="139"/>
      <c r="BJ1001" s="139"/>
      <c r="BK1001" s="139"/>
      <c r="BL1001" s="139"/>
      <c r="BM1001" s="139"/>
      <c r="BN1001" s="139"/>
      <c r="BO1001" s="139"/>
      <c r="BP1001" s="139"/>
      <c r="BQ1001" s="139"/>
      <c r="BR1001" s="139"/>
      <c r="BS1001" s="139"/>
      <c r="BT1001" s="139"/>
      <c r="BU1001" s="139"/>
      <c r="BV1001" s="139"/>
      <c r="BW1001" s="139"/>
      <c r="BX1001" s="139"/>
      <c r="BY1001" s="139"/>
      <c r="BZ1001" s="139"/>
      <c r="CA1001" s="139"/>
      <c r="CB1001" s="142">
        <f t="shared" si="4"/>
        <v>0</v>
      </c>
    </row>
    <row r="1002" spans="8:80" x14ac:dyDescent="0.15">
      <c r="H1002" s="140"/>
      <c r="I1002" s="140"/>
      <c r="J1002" s="140"/>
      <c r="K1002" s="140"/>
      <c r="L1002" s="140"/>
      <c r="M1002" s="140"/>
      <c r="N1002" s="140"/>
      <c r="O1002" s="140"/>
      <c r="P1002" s="140"/>
      <c r="Q1002" s="140"/>
      <c r="R1002" s="140"/>
      <c r="S1002" s="140"/>
      <c r="T1002" s="140"/>
      <c r="U1002" s="140"/>
      <c r="V1002" s="140"/>
      <c r="W1002" s="140"/>
      <c r="X1002" s="140"/>
      <c r="Y1002" s="140"/>
      <c r="Z1002" s="140"/>
      <c r="AA1002" s="141"/>
      <c r="AB1002" s="141"/>
      <c r="AC1002" s="141"/>
      <c r="AD1002" s="141"/>
      <c r="AE1002" s="141"/>
      <c r="AF1002" s="141"/>
      <c r="AG1002" s="141"/>
      <c r="AH1002" s="141"/>
      <c r="AI1002" s="141"/>
      <c r="AJ1002" s="141"/>
      <c r="AK1002" s="141"/>
      <c r="AL1002" s="141"/>
      <c r="AM1002" s="141"/>
      <c r="AN1002" s="141"/>
      <c r="AO1002" s="141"/>
      <c r="AP1002" s="141"/>
      <c r="AQ1002" s="141"/>
      <c r="AR1002" s="141"/>
      <c r="AS1002" s="141"/>
      <c r="AT1002" s="141"/>
      <c r="AU1002" s="141"/>
      <c r="AV1002" s="141"/>
      <c r="AW1002" s="141"/>
      <c r="AX1002" s="141"/>
      <c r="AY1002" s="141"/>
      <c r="AZ1002" s="141"/>
      <c r="BA1002" s="141"/>
      <c r="BB1002" s="141"/>
      <c r="BC1002" s="141"/>
      <c r="BD1002" s="141"/>
      <c r="BE1002" s="141"/>
      <c r="BF1002" s="140"/>
      <c r="BG1002" s="139"/>
      <c r="BH1002" s="139"/>
      <c r="BI1002" s="139"/>
      <c r="BJ1002" s="139"/>
      <c r="BK1002" s="139"/>
      <c r="BL1002" s="139"/>
      <c r="BM1002" s="139"/>
      <c r="BN1002" s="139"/>
      <c r="BO1002" s="139"/>
      <c r="BP1002" s="139"/>
      <c r="BQ1002" s="139"/>
      <c r="BR1002" s="139"/>
      <c r="BS1002" s="139"/>
      <c r="BT1002" s="139"/>
      <c r="BU1002" s="139"/>
      <c r="BV1002" s="139"/>
      <c r="BW1002" s="139"/>
      <c r="BX1002" s="139"/>
      <c r="BY1002" s="139"/>
      <c r="BZ1002" s="139"/>
      <c r="CA1002" s="139"/>
      <c r="CB1002" s="142">
        <f t="shared" si="4"/>
        <v>0</v>
      </c>
    </row>
    <row r="1003" spans="8:80" x14ac:dyDescent="0.15">
      <c r="H1003" s="140"/>
      <c r="I1003" s="140"/>
      <c r="J1003" s="140"/>
      <c r="K1003" s="140"/>
      <c r="L1003" s="140"/>
      <c r="M1003" s="140"/>
      <c r="N1003" s="140"/>
      <c r="O1003" s="140"/>
      <c r="P1003" s="140"/>
      <c r="Q1003" s="140"/>
      <c r="R1003" s="140"/>
      <c r="S1003" s="140"/>
      <c r="T1003" s="140"/>
      <c r="U1003" s="140"/>
      <c r="V1003" s="140"/>
      <c r="W1003" s="140"/>
      <c r="X1003" s="140"/>
      <c r="Y1003" s="140"/>
      <c r="Z1003" s="140"/>
      <c r="AA1003" s="141"/>
      <c r="AB1003" s="141"/>
      <c r="AC1003" s="141"/>
      <c r="AD1003" s="141"/>
      <c r="AE1003" s="141"/>
      <c r="AF1003" s="141"/>
      <c r="AG1003" s="141"/>
      <c r="AH1003" s="141"/>
      <c r="AI1003" s="141"/>
      <c r="AJ1003" s="141"/>
      <c r="AK1003" s="141"/>
      <c r="AL1003" s="141"/>
      <c r="AM1003" s="141"/>
      <c r="AN1003" s="141"/>
      <c r="AO1003" s="141"/>
      <c r="AP1003" s="141"/>
      <c r="AQ1003" s="141"/>
      <c r="AR1003" s="141"/>
      <c r="AS1003" s="141"/>
      <c r="AT1003" s="141"/>
      <c r="AU1003" s="141"/>
      <c r="AV1003" s="141"/>
      <c r="AW1003" s="141"/>
      <c r="AX1003" s="141"/>
      <c r="AY1003" s="141"/>
      <c r="AZ1003" s="141"/>
      <c r="BA1003" s="141"/>
      <c r="BB1003" s="141"/>
      <c r="BC1003" s="141"/>
      <c r="BD1003" s="141"/>
      <c r="BE1003" s="141"/>
      <c r="BF1003" s="140"/>
      <c r="BG1003" s="139"/>
      <c r="BH1003" s="139"/>
      <c r="BI1003" s="139"/>
      <c r="BJ1003" s="139"/>
      <c r="BK1003" s="139"/>
      <c r="BL1003" s="139"/>
      <c r="BM1003" s="139"/>
      <c r="BN1003" s="139"/>
      <c r="BO1003" s="139"/>
      <c r="BP1003" s="139"/>
      <c r="BQ1003" s="139"/>
      <c r="BR1003" s="139"/>
      <c r="BS1003" s="139"/>
      <c r="BT1003" s="139"/>
      <c r="BU1003" s="139"/>
      <c r="BV1003" s="139"/>
      <c r="BW1003" s="139"/>
      <c r="BX1003" s="139"/>
      <c r="BY1003" s="139"/>
      <c r="BZ1003" s="139"/>
      <c r="CA1003" s="139"/>
      <c r="CB1003" s="142">
        <f t="shared" si="4"/>
        <v>0</v>
      </c>
    </row>
    <row r="1004" spans="8:80" x14ac:dyDescent="0.15">
      <c r="H1004" s="140"/>
      <c r="I1004" s="140"/>
      <c r="J1004" s="140"/>
      <c r="K1004" s="140"/>
      <c r="L1004" s="140"/>
      <c r="M1004" s="140"/>
      <c r="N1004" s="140"/>
      <c r="O1004" s="140"/>
      <c r="P1004" s="140"/>
      <c r="Q1004" s="140"/>
      <c r="R1004" s="140"/>
      <c r="S1004" s="140"/>
      <c r="T1004" s="140"/>
      <c r="U1004" s="140"/>
      <c r="V1004" s="140"/>
      <c r="W1004" s="140"/>
      <c r="X1004" s="140"/>
      <c r="Y1004" s="140"/>
      <c r="Z1004" s="140"/>
      <c r="AA1004" s="141"/>
      <c r="AB1004" s="141"/>
      <c r="AC1004" s="141"/>
      <c r="AD1004" s="141"/>
      <c r="AE1004" s="141"/>
      <c r="AF1004" s="141"/>
      <c r="AG1004" s="141"/>
      <c r="AH1004" s="141"/>
      <c r="AI1004" s="141"/>
      <c r="AJ1004" s="141"/>
      <c r="AK1004" s="141"/>
      <c r="AL1004" s="141"/>
      <c r="AM1004" s="141"/>
      <c r="AN1004" s="141"/>
      <c r="AO1004" s="141"/>
      <c r="AP1004" s="141"/>
      <c r="AQ1004" s="141"/>
      <c r="AR1004" s="141"/>
      <c r="AS1004" s="141"/>
      <c r="AT1004" s="141"/>
      <c r="AU1004" s="141"/>
      <c r="AV1004" s="141"/>
      <c r="AW1004" s="141"/>
      <c r="AX1004" s="141"/>
      <c r="AY1004" s="141"/>
      <c r="AZ1004" s="141"/>
      <c r="BA1004" s="141"/>
      <c r="BB1004" s="141"/>
      <c r="BC1004" s="141"/>
      <c r="BD1004" s="141"/>
      <c r="BE1004" s="141"/>
      <c r="BF1004" s="140"/>
      <c r="BG1004" s="139"/>
      <c r="BH1004" s="139"/>
      <c r="BI1004" s="139"/>
      <c r="BJ1004" s="139"/>
      <c r="BK1004" s="139"/>
      <c r="BL1004" s="139"/>
      <c r="BM1004" s="139"/>
      <c r="BN1004" s="139"/>
      <c r="BO1004" s="139"/>
      <c r="BP1004" s="139"/>
      <c r="BQ1004" s="139"/>
      <c r="BR1004" s="139"/>
      <c r="BS1004" s="139"/>
      <c r="BT1004" s="139"/>
      <c r="BU1004" s="139"/>
      <c r="BV1004" s="139"/>
      <c r="BW1004" s="139"/>
      <c r="BX1004" s="139"/>
      <c r="BY1004" s="139"/>
      <c r="BZ1004" s="139"/>
      <c r="CA1004" s="139"/>
      <c r="CB1004" s="142">
        <f t="shared" si="4"/>
        <v>0</v>
      </c>
    </row>
    <row r="1005" spans="8:80" x14ac:dyDescent="0.15">
      <c r="H1005" s="140"/>
      <c r="I1005" s="140"/>
      <c r="J1005" s="140"/>
      <c r="K1005" s="140"/>
      <c r="L1005" s="140"/>
      <c r="M1005" s="140"/>
      <c r="N1005" s="140"/>
      <c r="O1005" s="140"/>
      <c r="P1005" s="140"/>
      <c r="Q1005" s="140"/>
      <c r="R1005" s="140"/>
      <c r="S1005" s="140"/>
      <c r="T1005" s="140"/>
      <c r="U1005" s="140"/>
      <c r="V1005" s="140"/>
      <c r="W1005" s="140"/>
      <c r="X1005" s="140"/>
      <c r="Y1005" s="140"/>
      <c r="Z1005" s="140"/>
      <c r="AA1005" s="141"/>
      <c r="AB1005" s="141"/>
      <c r="AC1005" s="141"/>
      <c r="AD1005" s="141"/>
      <c r="AE1005" s="141"/>
      <c r="AF1005" s="141"/>
      <c r="AG1005" s="141"/>
      <c r="AH1005" s="141"/>
      <c r="AI1005" s="141"/>
      <c r="AJ1005" s="141"/>
      <c r="AK1005" s="141"/>
      <c r="AL1005" s="141"/>
      <c r="AM1005" s="141"/>
      <c r="AN1005" s="141"/>
      <c r="AO1005" s="141"/>
      <c r="AP1005" s="141"/>
      <c r="AQ1005" s="141"/>
      <c r="AR1005" s="141"/>
      <c r="AS1005" s="141"/>
      <c r="AT1005" s="141"/>
      <c r="AU1005" s="141"/>
      <c r="AV1005" s="141"/>
      <c r="AW1005" s="141"/>
      <c r="AX1005" s="141"/>
      <c r="AY1005" s="141"/>
      <c r="AZ1005" s="141"/>
      <c r="BA1005" s="141"/>
      <c r="BB1005" s="141"/>
      <c r="BC1005" s="141"/>
      <c r="BD1005" s="141"/>
      <c r="BE1005" s="141"/>
      <c r="BF1005" s="140"/>
      <c r="BG1005" s="139"/>
      <c r="BH1005" s="139"/>
      <c r="BI1005" s="139"/>
      <c r="BJ1005" s="139"/>
      <c r="BK1005" s="139"/>
      <c r="BL1005" s="139"/>
      <c r="BM1005" s="139"/>
      <c r="BN1005" s="139"/>
      <c r="BO1005" s="139"/>
      <c r="BP1005" s="139"/>
      <c r="BQ1005" s="139"/>
      <c r="BR1005" s="139"/>
      <c r="BS1005" s="139"/>
      <c r="BT1005" s="139"/>
      <c r="BU1005" s="139"/>
      <c r="BV1005" s="139"/>
      <c r="BW1005" s="139"/>
      <c r="BX1005" s="139"/>
      <c r="BY1005" s="139"/>
      <c r="BZ1005" s="139"/>
      <c r="CA1005" s="139"/>
      <c r="CB1005" s="142">
        <f t="shared" si="4"/>
        <v>0</v>
      </c>
    </row>
    <row r="1006" spans="8:80" x14ac:dyDescent="0.15">
      <c r="H1006" s="140"/>
      <c r="I1006" s="140"/>
      <c r="J1006" s="140"/>
      <c r="K1006" s="140"/>
      <c r="L1006" s="140"/>
      <c r="M1006" s="140"/>
      <c r="N1006" s="140"/>
      <c r="O1006" s="140"/>
      <c r="P1006" s="140"/>
      <c r="Q1006" s="140"/>
      <c r="R1006" s="140"/>
      <c r="S1006" s="140"/>
      <c r="T1006" s="140"/>
      <c r="U1006" s="140"/>
      <c r="V1006" s="140"/>
      <c r="W1006" s="140"/>
      <c r="X1006" s="140"/>
      <c r="Y1006" s="140"/>
      <c r="Z1006" s="140"/>
      <c r="AA1006" s="141"/>
      <c r="AB1006" s="141"/>
      <c r="AC1006" s="141"/>
      <c r="AD1006" s="141"/>
      <c r="AE1006" s="141"/>
      <c r="AF1006" s="141"/>
      <c r="AG1006" s="141"/>
      <c r="AH1006" s="141"/>
      <c r="AI1006" s="141"/>
      <c r="AJ1006" s="141"/>
      <c r="AK1006" s="141"/>
      <c r="AL1006" s="141"/>
      <c r="AM1006" s="141"/>
      <c r="AN1006" s="141"/>
      <c r="AO1006" s="141"/>
      <c r="AP1006" s="141"/>
      <c r="AQ1006" s="141"/>
      <c r="AR1006" s="141"/>
      <c r="AS1006" s="141"/>
      <c r="AT1006" s="141"/>
      <c r="AU1006" s="141"/>
      <c r="AV1006" s="141"/>
      <c r="AW1006" s="141"/>
      <c r="AX1006" s="141"/>
      <c r="AY1006" s="141"/>
      <c r="AZ1006" s="141"/>
      <c r="BA1006" s="141"/>
      <c r="BB1006" s="141"/>
      <c r="BC1006" s="141"/>
      <c r="BD1006" s="141"/>
      <c r="BE1006" s="141"/>
      <c r="BF1006" s="140"/>
      <c r="BG1006" s="139"/>
      <c r="BH1006" s="139"/>
      <c r="BI1006" s="139"/>
      <c r="BJ1006" s="139"/>
      <c r="BK1006" s="139"/>
      <c r="BL1006" s="139"/>
      <c r="BM1006" s="139"/>
      <c r="BN1006" s="139"/>
      <c r="BO1006" s="139"/>
      <c r="BP1006" s="139"/>
      <c r="BQ1006" s="139"/>
      <c r="BR1006" s="139"/>
      <c r="BS1006" s="139"/>
      <c r="BT1006" s="139"/>
      <c r="BU1006" s="139"/>
      <c r="BV1006" s="139"/>
      <c r="BW1006" s="139"/>
      <c r="BX1006" s="139"/>
      <c r="BY1006" s="139"/>
      <c r="BZ1006" s="139"/>
      <c r="CA1006" s="139"/>
      <c r="CB1006" s="142">
        <f t="shared" si="4"/>
        <v>0</v>
      </c>
    </row>
    <row r="1007" spans="8:80" x14ac:dyDescent="0.15">
      <c r="H1007" s="140"/>
      <c r="I1007" s="140"/>
      <c r="J1007" s="140"/>
      <c r="K1007" s="140"/>
      <c r="L1007" s="140"/>
      <c r="M1007" s="140"/>
      <c r="N1007" s="140"/>
      <c r="O1007" s="140"/>
      <c r="P1007" s="140"/>
      <c r="Q1007" s="140"/>
      <c r="R1007" s="140"/>
      <c r="S1007" s="140"/>
      <c r="T1007" s="140"/>
      <c r="U1007" s="140"/>
      <c r="V1007" s="140"/>
      <c r="W1007" s="140"/>
      <c r="X1007" s="140"/>
      <c r="Y1007" s="140"/>
      <c r="Z1007" s="140"/>
      <c r="AA1007" s="141"/>
      <c r="AB1007" s="141"/>
      <c r="AC1007" s="141"/>
      <c r="AD1007" s="141"/>
      <c r="AE1007" s="141"/>
      <c r="AF1007" s="141"/>
      <c r="AG1007" s="141"/>
      <c r="AH1007" s="141"/>
      <c r="AI1007" s="141"/>
      <c r="AJ1007" s="141"/>
      <c r="AK1007" s="141"/>
      <c r="AL1007" s="141"/>
      <c r="AM1007" s="141"/>
      <c r="AN1007" s="141"/>
      <c r="AO1007" s="141"/>
      <c r="AP1007" s="141"/>
      <c r="AQ1007" s="141"/>
      <c r="AR1007" s="141"/>
      <c r="AS1007" s="141"/>
      <c r="AT1007" s="141"/>
      <c r="AU1007" s="141"/>
      <c r="AV1007" s="141"/>
      <c r="AW1007" s="141"/>
      <c r="AX1007" s="141"/>
      <c r="AY1007" s="141"/>
      <c r="AZ1007" s="141"/>
      <c r="BA1007" s="141"/>
      <c r="BB1007" s="141"/>
      <c r="BC1007" s="141"/>
      <c r="BD1007" s="141"/>
      <c r="BE1007" s="141"/>
      <c r="BF1007" s="140"/>
      <c r="BG1007" s="139"/>
      <c r="BH1007" s="139"/>
      <c r="BI1007" s="139"/>
      <c r="BJ1007" s="139"/>
      <c r="BK1007" s="139"/>
      <c r="BL1007" s="139"/>
      <c r="BM1007" s="139"/>
      <c r="BN1007" s="139"/>
      <c r="BO1007" s="139"/>
      <c r="BP1007" s="139"/>
      <c r="BQ1007" s="139"/>
      <c r="BR1007" s="139"/>
      <c r="BS1007" s="139"/>
      <c r="BT1007" s="139"/>
      <c r="BU1007" s="139"/>
      <c r="BV1007" s="139"/>
      <c r="BW1007" s="139"/>
      <c r="BX1007" s="139"/>
      <c r="BY1007" s="139"/>
      <c r="BZ1007" s="139"/>
      <c r="CA1007" s="139"/>
      <c r="CB1007" s="142">
        <f t="shared" si="4"/>
        <v>0</v>
      </c>
    </row>
    <row r="1008" spans="8:80" x14ac:dyDescent="0.15">
      <c r="H1008" s="140"/>
      <c r="I1008" s="140"/>
      <c r="J1008" s="140"/>
      <c r="K1008" s="140"/>
      <c r="L1008" s="140"/>
      <c r="M1008" s="140"/>
      <c r="N1008" s="140"/>
      <c r="O1008" s="140"/>
      <c r="P1008" s="140"/>
      <c r="Q1008" s="140"/>
      <c r="R1008" s="140"/>
      <c r="S1008" s="140"/>
      <c r="T1008" s="140"/>
      <c r="U1008" s="140"/>
      <c r="V1008" s="140"/>
      <c r="W1008" s="140"/>
      <c r="X1008" s="140"/>
      <c r="Y1008" s="140"/>
      <c r="Z1008" s="140"/>
      <c r="AA1008" s="141"/>
      <c r="AB1008" s="141"/>
      <c r="AC1008" s="141"/>
      <c r="AD1008" s="141"/>
      <c r="AE1008" s="141"/>
      <c r="AF1008" s="141"/>
      <c r="AG1008" s="141"/>
      <c r="AH1008" s="141"/>
      <c r="AI1008" s="141"/>
      <c r="AJ1008" s="141"/>
      <c r="AK1008" s="141"/>
      <c r="AL1008" s="141"/>
      <c r="AM1008" s="141"/>
      <c r="AN1008" s="141"/>
      <c r="AO1008" s="141"/>
      <c r="AP1008" s="141"/>
      <c r="AQ1008" s="141"/>
      <c r="AR1008" s="141"/>
      <c r="AS1008" s="141"/>
      <c r="AT1008" s="141"/>
      <c r="AU1008" s="141"/>
      <c r="AV1008" s="141"/>
      <c r="AW1008" s="141"/>
      <c r="AX1008" s="141"/>
      <c r="AY1008" s="141"/>
      <c r="AZ1008" s="141"/>
      <c r="BA1008" s="141"/>
      <c r="BB1008" s="141"/>
      <c r="BC1008" s="141"/>
      <c r="BD1008" s="141"/>
      <c r="BE1008" s="141"/>
      <c r="BF1008" s="140"/>
      <c r="BG1008" s="139"/>
      <c r="BH1008" s="139"/>
      <c r="BI1008" s="139"/>
      <c r="BJ1008" s="139"/>
      <c r="BK1008" s="139"/>
      <c r="BL1008" s="139"/>
      <c r="BM1008" s="139"/>
      <c r="BN1008" s="139"/>
      <c r="BO1008" s="139"/>
      <c r="BP1008" s="139"/>
      <c r="BQ1008" s="139"/>
      <c r="BR1008" s="139"/>
      <c r="BS1008" s="139"/>
      <c r="BT1008" s="139"/>
      <c r="BU1008" s="139"/>
      <c r="BV1008" s="139"/>
      <c r="BW1008" s="139"/>
      <c r="BX1008" s="139"/>
      <c r="BY1008" s="139"/>
      <c r="BZ1008" s="139"/>
      <c r="CA1008" s="139"/>
      <c r="CB1008" s="142">
        <f t="shared" si="4"/>
        <v>0</v>
      </c>
    </row>
    <row r="1009" spans="8:80" x14ac:dyDescent="0.15">
      <c r="H1009" s="140"/>
      <c r="I1009" s="140"/>
      <c r="J1009" s="140"/>
      <c r="K1009" s="140"/>
      <c r="L1009" s="140"/>
      <c r="M1009" s="140"/>
      <c r="N1009" s="140"/>
      <c r="O1009" s="140"/>
      <c r="P1009" s="140"/>
      <c r="Q1009" s="140"/>
      <c r="R1009" s="140"/>
      <c r="S1009" s="140"/>
      <c r="T1009" s="140"/>
      <c r="U1009" s="140"/>
      <c r="V1009" s="140"/>
      <c r="W1009" s="140"/>
      <c r="X1009" s="140"/>
      <c r="Y1009" s="140"/>
      <c r="Z1009" s="140"/>
      <c r="AA1009" s="141"/>
      <c r="AB1009" s="141"/>
      <c r="AC1009" s="141"/>
      <c r="AD1009" s="141"/>
      <c r="AE1009" s="141"/>
      <c r="AF1009" s="141"/>
      <c r="AG1009" s="141"/>
      <c r="AH1009" s="141"/>
      <c r="AI1009" s="141"/>
      <c r="AJ1009" s="141"/>
      <c r="AK1009" s="141"/>
      <c r="AL1009" s="141"/>
      <c r="AM1009" s="141"/>
      <c r="AN1009" s="141"/>
      <c r="AO1009" s="141"/>
      <c r="AP1009" s="141"/>
      <c r="AQ1009" s="141"/>
      <c r="AR1009" s="141"/>
      <c r="AS1009" s="141"/>
      <c r="AT1009" s="141"/>
      <c r="AU1009" s="141"/>
      <c r="AV1009" s="141"/>
      <c r="AW1009" s="141"/>
      <c r="AX1009" s="141"/>
      <c r="AY1009" s="141"/>
      <c r="AZ1009" s="141"/>
      <c r="BA1009" s="141"/>
      <c r="BB1009" s="141"/>
      <c r="BC1009" s="141"/>
      <c r="BD1009" s="141"/>
      <c r="BE1009" s="141"/>
      <c r="BF1009" s="140"/>
      <c r="BG1009" s="139"/>
      <c r="BH1009" s="139"/>
      <c r="BI1009" s="139"/>
      <c r="BJ1009" s="139"/>
      <c r="BK1009" s="139"/>
      <c r="BL1009" s="139"/>
      <c r="BM1009" s="139"/>
      <c r="BN1009" s="139"/>
      <c r="BO1009" s="139"/>
      <c r="BP1009" s="139"/>
      <c r="BQ1009" s="139"/>
      <c r="BR1009" s="139"/>
      <c r="BS1009" s="139"/>
      <c r="BT1009" s="139"/>
      <c r="BU1009" s="139"/>
      <c r="BV1009" s="139"/>
      <c r="BW1009" s="139"/>
      <c r="BX1009" s="139"/>
      <c r="BY1009" s="139"/>
      <c r="BZ1009" s="139"/>
      <c r="CA1009" s="139"/>
      <c r="CB1009" s="142">
        <f t="shared" si="4"/>
        <v>0</v>
      </c>
    </row>
    <row r="1010" spans="8:80" x14ac:dyDescent="0.15">
      <c r="H1010" s="140"/>
      <c r="I1010" s="140"/>
      <c r="J1010" s="140"/>
      <c r="K1010" s="140"/>
      <c r="L1010" s="140"/>
      <c r="M1010" s="140"/>
      <c r="N1010" s="140"/>
      <c r="O1010" s="140"/>
      <c r="P1010" s="140"/>
      <c r="Q1010" s="140"/>
      <c r="R1010" s="140"/>
      <c r="S1010" s="140"/>
      <c r="T1010" s="140"/>
      <c r="U1010" s="140"/>
      <c r="V1010" s="140"/>
      <c r="W1010" s="140"/>
      <c r="X1010" s="140"/>
      <c r="Y1010" s="140"/>
      <c r="Z1010" s="140"/>
      <c r="AA1010" s="141"/>
      <c r="AB1010" s="141"/>
      <c r="AC1010" s="141"/>
      <c r="AD1010" s="141"/>
      <c r="AE1010" s="141"/>
      <c r="AF1010" s="141"/>
      <c r="AG1010" s="141"/>
      <c r="AH1010" s="141"/>
      <c r="AI1010" s="141"/>
      <c r="AJ1010" s="141"/>
      <c r="AK1010" s="141"/>
      <c r="AL1010" s="141"/>
      <c r="AM1010" s="141"/>
      <c r="AN1010" s="141"/>
      <c r="AO1010" s="141"/>
      <c r="AP1010" s="141"/>
      <c r="AQ1010" s="141"/>
      <c r="AR1010" s="141"/>
      <c r="AS1010" s="141"/>
      <c r="AT1010" s="141"/>
      <c r="AU1010" s="141"/>
      <c r="AV1010" s="141"/>
      <c r="AW1010" s="141"/>
      <c r="AX1010" s="141"/>
      <c r="AY1010" s="141"/>
      <c r="AZ1010" s="141"/>
      <c r="BA1010" s="141"/>
      <c r="BB1010" s="141"/>
      <c r="BC1010" s="141"/>
      <c r="BD1010" s="141"/>
      <c r="BE1010" s="141"/>
      <c r="BF1010" s="140"/>
      <c r="BG1010" s="139"/>
      <c r="BH1010" s="139"/>
      <c r="BI1010" s="139"/>
      <c r="BJ1010" s="139"/>
      <c r="BK1010" s="139"/>
      <c r="BL1010" s="139"/>
      <c r="BM1010" s="139"/>
      <c r="BN1010" s="139"/>
      <c r="BO1010" s="139"/>
      <c r="BP1010" s="139"/>
      <c r="BQ1010" s="139"/>
      <c r="BR1010" s="139"/>
      <c r="BS1010" s="139"/>
      <c r="BT1010" s="139"/>
      <c r="BU1010" s="139"/>
      <c r="BV1010" s="139"/>
      <c r="BW1010" s="139"/>
      <c r="BX1010" s="139"/>
      <c r="BY1010" s="139"/>
      <c r="BZ1010" s="139"/>
      <c r="CA1010" s="139"/>
      <c r="CB1010" s="142">
        <f t="shared" si="4"/>
        <v>0</v>
      </c>
    </row>
    <row r="1011" spans="8:80" x14ac:dyDescent="0.15">
      <c r="H1011" s="140"/>
      <c r="I1011" s="140"/>
      <c r="J1011" s="140"/>
      <c r="K1011" s="140"/>
      <c r="L1011" s="140"/>
      <c r="M1011" s="140"/>
      <c r="N1011" s="140"/>
      <c r="O1011" s="140"/>
      <c r="P1011" s="140"/>
      <c r="Q1011" s="140"/>
      <c r="R1011" s="140"/>
      <c r="S1011" s="140"/>
      <c r="T1011" s="140"/>
      <c r="U1011" s="140"/>
      <c r="V1011" s="140"/>
      <c r="W1011" s="140"/>
      <c r="X1011" s="140"/>
      <c r="Y1011" s="140"/>
      <c r="Z1011" s="140"/>
      <c r="AA1011" s="141"/>
      <c r="AB1011" s="141"/>
      <c r="AC1011" s="141"/>
      <c r="AD1011" s="141"/>
      <c r="AE1011" s="141"/>
      <c r="AF1011" s="141"/>
      <c r="AG1011" s="141"/>
      <c r="AH1011" s="141"/>
      <c r="AI1011" s="141"/>
      <c r="AJ1011" s="141"/>
      <c r="AK1011" s="141"/>
      <c r="AL1011" s="141"/>
      <c r="AM1011" s="141"/>
      <c r="AN1011" s="141"/>
      <c r="AO1011" s="141"/>
      <c r="AP1011" s="141"/>
      <c r="AQ1011" s="141"/>
      <c r="AR1011" s="141"/>
      <c r="AS1011" s="141"/>
      <c r="AT1011" s="141"/>
      <c r="AU1011" s="141"/>
      <c r="AV1011" s="141"/>
      <c r="AW1011" s="141"/>
      <c r="AX1011" s="141"/>
      <c r="AY1011" s="141"/>
      <c r="AZ1011" s="141"/>
      <c r="BA1011" s="141"/>
      <c r="BB1011" s="141"/>
      <c r="BC1011" s="141"/>
      <c r="BD1011" s="141"/>
      <c r="BE1011" s="141"/>
      <c r="BF1011" s="140"/>
      <c r="BG1011" s="139"/>
      <c r="BH1011" s="139"/>
      <c r="BI1011" s="139"/>
      <c r="BJ1011" s="139"/>
      <c r="BK1011" s="139"/>
      <c r="BL1011" s="139"/>
      <c r="BM1011" s="139"/>
      <c r="BN1011" s="139"/>
      <c r="BO1011" s="139"/>
      <c r="BP1011" s="139"/>
      <c r="BQ1011" s="139"/>
      <c r="BR1011" s="139"/>
      <c r="BS1011" s="139"/>
      <c r="BT1011" s="139"/>
      <c r="BU1011" s="139"/>
      <c r="BV1011" s="139"/>
      <c r="BW1011" s="139"/>
      <c r="BX1011" s="139"/>
      <c r="BY1011" s="139"/>
      <c r="BZ1011" s="139"/>
      <c r="CA1011" s="139"/>
      <c r="CB1011" s="142">
        <f t="shared" si="4"/>
        <v>0</v>
      </c>
    </row>
    <row r="1012" spans="8:80" x14ac:dyDescent="0.15">
      <c r="H1012" s="140"/>
      <c r="I1012" s="140"/>
      <c r="J1012" s="140"/>
      <c r="K1012" s="140"/>
      <c r="L1012" s="140"/>
      <c r="M1012" s="140"/>
      <c r="N1012" s="140"/>
      <c r="O1012" s="140"/>
      <c r="P1012" s="140"/>
      <c r="Q1012" s="140"/>
      <c r="R1012" s="140"/>
      <c r="S1012" s="140"/>
      <c r="T1012" s="140"/>
      <c r="U1012" s="140"/>
      <c r="V1012" s="140"/>
      <c r="W1012" s="140"/>
      <c r="X1012" s="140"/>
      <c r="Y1012" s="140"/>
      <c r="Z1012" s="140"/>
      <c r="AA1012" s="141"/>
      <c r="AB1012" s="141"/>
      <c r="AC1012" s="141"/>
      <c r="AD1012" s="141"/>
      <c r="AE1012" s="141"/>
      <c r="AF1012" s="141"/>
      <c r="AG1012" s="141"/>
      <c r="AH1012" s="141"/>
      <c r="AI1012" s="141"/>
      <c r="AJ1012" s="141"/>
      <c r="AK1012" s="141"/>
      <c r="AL1012" s="141"/>
      <c r="AM1012" s="141"/>
      <c r="AN1012" s="141"/>
      <c r="AO1012" s="141"/>
      <c r="AP1012" s="141"/>
      <c r="AQ1012" s="141"/>
      <c r="AR1012" s="141"/>
      <c r="AS1012" s="141"/>
      <c r="AT1012" s="141"/>
      <c r="AU1012" s="141"/>
      <c r="AV1012" s="141"/>
      <c r="AW1012" s="141"/>
      <c r="AX1012" s="141"/>
      <c r="AY1012" s="141"/>
      <c r="AZ1012" s="141"/>
      <c r="BA1012" s="141"/>
      <c r="BB1012" s="141"/>
      <c r="BC1012" s="141"/>
      <c r="BD1012" s="141"/>
      <c r="BE1012" s="141"/>
      <c r="BF1012" s="140"/>
      <c r="BG1012" s="139"/>
      <c r="BH1012" s="139"/>
      <c r="BI1012" s="139"/>
      <c r="BJ1012" s="139"/>
      <c r="BK1012" s="139"/>
      <c r="BL1012" s="139"/>
      <c r="BM1012" s="139"/>
      <c r="BN1012" s="139"/>
      <c r="BO1012" s="139"/>
      <c r="BP1012" s="139"/>
      <c r="BQ1012" s="139"/>
      <c r="BR1012" s="139"/>
      <c r="BS1012" s="139"/>
      <c r="BT1012" s="139"/>
      <c r="BU1012" s="139"/>
      <c r="BV1012" s="139"/>
      <c r="BW1012" s="139"/>
      <c r="BX1012" s="139"/>
      <c r="BY1012" s="139"/>
      <c r="BZ1012" s="139"/>
      <c r="CA1012" s="139"/>
      <c r="CB1012" s="142">
        <f t="shared" si="4"/>
        <v>0</v>
      </c>
    </row>
    <row r="1013" spans="8:80" x14ac:dyDescent="0.15">
      <c r="H1013" s="140"/>
      <c r="I1013" s="140"/>
      <c r="J1013" s="140"/>
      <c r="K1013" s="140"/>
      <c r="L1013" s="140"/>
      <c r="M1013" s="140"/>
      <c r="N1013" s="140"/>
      <c r="O1013" s="140"/>
      <c r="P1013" s="140"/>
      <c r="Q1013" s="140"/>
      <c r="R1013" s="140"/>
      <c r="S1013" s="140"/>
      <c r="T1013" s="140"/>
      <c r="U1013" s="140"/>
      <c r="V1013" s="140"/>
      <c r="W1013" s="140"/>
      <c r="X1013" s="140"/>
      <c r="Y1013" s="140"/>
      <c r="Z1013" s="140"/>
      <c r="AA1013" s="141"/>
      <c r="AB1013" s="141"/>
      <c r="AC1013" s="141"/>
      <c r="AD1013" s="141"/>
      <c r="AE1013" s="141"/>
      <c r="AF1013" s="141"/>
      <c r="AG1013" s="141"/>
      <c r="AH1013" s="141"/>
      <c r="AI1013" s="141"/>
      <c r="AJ1013" s="141"/>
      <c r="AK1013" s="141"/>
      <c r="AL1013" s="141"/>
      <c r="AM1013" s="141"/>
      <c r="AN1013" s="141"/>
      <c r="AO1013" s="141"/>
      <c r="AP1013" s="141"/>
      <c r="AQ1013" s="141"/>
      <c r="AR1013" s="141"/>
      <c r="AS1013" s="141"/>
      <c r="AT1013" s="141"/>
      <c r="AU1013" s="141"/>
      <c r="AV1013" s="141"/>
      <c r="AW1013" s="141"/>
      <c r="AX1013" s="141"/>
      <c r="AY1013" s="141"/>
      <c r="AZ1013" s="141"/>
      <c r="BA1013" s="141"/>
      <c r="BB1013" s="141"/>
      <c r="BC1013" s="141"/>
      <c r="BD1013" s="141"/>
      <c r="BE1013" s="141"/>
      <c r="BF1013" s="140"/>
      <c r="BG1013" s="139"/>
      <c r="BH1013" s="139"/>
      <c r="BI1013" s="139"/>
      <c r="BJ1013" s="139"/>
      <c r="BK1013" s="139"/>
      <c r="BL1013" s="139"/>
      <c r="BM1013" s="139"/>
      <c r="BN1013" s="139"/>
      <c r="BO1013" s="139"/>
      <c r="BP1013" s="139"/>
      <c r="BQ1013" s="139"/>
      <c r="BR1013" s="139"/>
      <c r="BS1013" s="139"/>
      <c r="BT1013" s="139"/>
      <c r="BU1013" s="139"/>
      <c r="BV1013" s="139"/>
      <c r="BW1013" s="139"/>
      <c r="BX1013" s="139"/>
      <c r="BY1013" s="139"/>
      <c r="BZ1013" s="139"/>
      <c r="CA1013" s="139"/>
      <c r="CB1013" s="142">
        <f t="shared" si="4"/>
        <v>0</v>
      </c>
    </row>
    <row r="1014" spans="8:80" x14ac:dyDescent="0.15">
      <c r="H1014" s="140"/>
      <c r="I1014" s="140"/>
      <c r="J1014" s="140"/>
      <c r="K1014" s="140"/>
      <c r="L1014" s="140"/>
      <c r="M1014" s="140"/>
      <c r="N1014" s="140"/>
      <c r="O1014" s="140"/>
      <c r="P1014" s="140"/>
      <c r="Q1014" s="140"/>
      <c r="R1014" s="140"/>
      <c r="S1014" s="140"/>
      <c r="T1014" s="140"/>
      <c r="U1014" s="140"/>
      <c r="V1014" s="140"/>
      <c r="W1014" s="140"/>
      <c r="X1014" s="140"/>
      <c r="Y1014" s="140"/>
      <c r="Z1014" s="140"/>
      <c r="AA1014" s="141"/>
      <c r="AB1014" s="141"/>
      <c r="AC1014" s="141"/>
      <c r="AD1014" s="141"/>
      <c r="AE1014" s="141"/>
      <c r="AF1014" s="141"/>
      <c r="AG1014" s="141"/>
      <c r="AH1014" s="141"/>
      <c r="AI1014" s="141"/>
      <c r="AJ1014" s="141"/>
      <c r="AK1014" s="141"/>
      <c r="AL1014" s="141"/>
      <c r="AM1014" s="141"/>
      <c r="AN1014" s="141"/>
      <c r="AO1014" s="141"/>
      <c r="AP1014" s="141"/>
      <c r="AQ1014" s="141"/>
      <c r="AR1014" s="141"/>
      <c r="AS1014" s="141"/>
      <c r="AT1014" s="141"/>
      <c r="AU1014" s="141"/>
      <c r="AV1014" s="141"/>
      <c r="AW1014" s="141"/>
      <c r="AX1014" s="141"/>
      <c r="AY1014" s="141"/>
      <c r="AZ1014" s="141"/>
      <c r="BA1014" s="141"/>
      <c r="BB1014" s="141"/>
      <c r="BC1014" s="141"/>
      <c r="BD1014" s="141"/>
      <c r="BE1014" s="141"/>
      <c r="BF1014" s="140"/>
      <c r="BG1014" s="139"/>
      <c r="BH1014" s="139"/>
      <c r="BI1014" s="139"/>
      <c r="BJ1014" s="139"/>
      <c r="BK1014" s="139"/>
      <c r="BL1014" s="139"/>
      <c r="BM1014" s="139"/>
      <c r="BN1014" s="139"/>
      <c r="BO1014" s="139"/>
      <c r="BP1014" s="139"/>
      <c r="BQ1014" s="139"/>
      <c r="BR1014" s="139"/>
      <c r="BS1014" s="139"/>
      <c r="BT1014" s="139"/>
      <c r="BU1014" s="139"/>
      <c r="BV1014" s="139"/>
      <c r="BW1014" s="139"/>
      <c r="BX1014" s="139"/>
      <c r="BY1014" s="139"/>
      <c r="BZ1014" s="139"/>
      <c r="CA1014" s="139"/>
      <c r="CB1014" s="142">
        <f t="shared" si="4"/>
        <v>0</v>
      </c>
    </row>
    <row r="1015" spans="8:80" x14ac:dyDescent="0.15">
      <c r="H1015" s="140"/>
      <c r="I1015" s="140"/>
      <c r="J1015" s="140"/>
      <c r="K1015" s="140"/>
      <c r="L1015" s="140"/>
      <c r="M1015" s="140"/>
      <c r="N1015" s="140"/>
      <c r="O1015" s="140"/>
      <c r="P1015" s="140"/>
      <c r="Q1015" s="140"/>
      <c r="R1015" s="140"/>
      <c r="S1015" s="140"/>
      <c r="T1015" s="140"/>
      <c r="U1015" s="140"/>
      <c r="V1015" s="140"/>
      <c r="W1015" s="140"/>
      <c r="X1015" s="140"/>
      <c r="Y1015" s="140"/>
      <c r="Z1015" s="140"/>
      <c r="AA1015" s="141"/>
      <c r="AB1015" s="141"/>
      <c r="AC1015" s="141"/>
      <c r="AD1015" s="141"/>
      <c r="AE1015" s="141"/>
      <c r="AF1015" s="141"/>
      <c r="AG1015" s="141"/>
      <c r="AH1015" s="141"/>
      <c r="AI1015" s="141"/>
      <c r="AJ1015" s="141"/>
      <c r="AK1015" s="141"/>
      <c r="AL1015" s="141"/>
      <c r="AM1015" s="141"/>
      <c r="AN1015" s="141"/>
      <c r="AO1015" s="141"/>
      <c r="AP1015" s="141"/>
      <c r="AQ1015" s="141"/>
      <c r="AR1015" s="141"/>
      <c r="AS1015" s="141"/>
      <c r="AT1015" s="141"/>
      <c r="AU1015" s="141"/>
      <c r="AV1015" s="141"/>
      <c r="AW1015" s="141"/>
      <c r="AX1015" s="141"/>
      <c r="AY1015" s="141"/>
      <c r="AZ1015" s="141"/>
      <c r="BA1015" s="141"/>
      <c r="BB1015" s="141"/>
      <c r="BC1015" s="141"/>
      <c r="BD1015" s="141"/>
      <c r="BE1015" s="141"/>
      <c r="BF1015" s="140"/>
      <c r="BG1015" s="139"/>
      <c r="BH1015" s="139"/>
      <c r="BI1015" s="139"/>
      <c r="BJ1015" s="139"/>
      <c r="BK1015" s="139"/>
      <c r="BL1015" s="139"/>
      <c r="BM1015" s="139"/>
      <c r="BN1015" s="139"/>
      <c r="BO1015" s="139"/>
      <c r="BP1015" s="139"/>
      <c r="BQ1015" s="139"/>
      <c r="BR1015" s="139"/>
      <c r="BS1015" s="139"/>
      <c r="BT1015" s="139"/>
      <c r="BU1015" s="139"/>
      <c r="BV1015" s="139"/>
      <c r="BW1015" s="139"/>
      <c r="BX1015" s="139"/>
      <c r="BY1015" s="139"/>
      <c r="BZ1015" s="139"/>
      <c r="CA1015" s="139"/>
      <c r="CB1015" s="142">
        <f t="shared" si="4"/>
        <v>0</v>
      </c>
    </row>
    <row r="1016" spans="8:80" x14ac:dyDescent="0.15">
      <c r="H1016" s="140"/>
      <c r="I1016" s="140"/>
      <c r="J1016" s="140"/>
      <c r="K1016" s="140"/>
      <c r="L1016" s="140"/>
      <c r="M1016" s="140"/>
      <c r="N1016" s="140"/>
      <c r="O1016" s="140"/>
      <c r="P1016" s="140"/>
      <c r="Q1016" s="140"/>
      <c r="R1016" s="140"/>
      <c r="S1016" s="140"/>
      <c r="T1016" s="140"/>
      <c r="U1016" s="140"/>
      <c r="V1016" s="140"/>
      <c r="W1016" s="140"/>
      <c r="X1016" s="140"/>
      <c r="Y1016" s="140"/>
      <c r="Z1016" s="140"/>
      <c r="AA1016" s="141"/>
      <c r="AB1016" s="141"/>
      <c r="AC1016" s="141"/>
      <c r="AD1016" s="141"/>
      <c r="AE1016" s="141"/>
      <c r="AF1016" s="141"/>
      <c r="AG1016" s="141"/>
      <c r="AH1016" s="141"/>
      <c r="AI1016" s="141"/>
      <c r="AJ1016" s="141"/>
      <c r="AK1016" s="141"/>
      <c r="AL1016" s="141"/>
      <c r="AM1016" s="141"/>
      <c r="AN1016" s="141"/>
      <c r="AO1016" s="141"/>
      <c r="AP1016" s="141"/>
      <c r="AQ1016" s="141"/>
      <c r="AR1016" s="141"/>
      <c r="AS1016" s="141"/>
      <c r="AT1016" s="141"/>
      <c r="AU1016" s="141"/>
      <c r="AV1016" s="141"/>
      <c r="AW1016" s="141"/>
      <c r="AX1016" s="141"/>
      <c r="AY1016" s="141"/>
      <c r="AZ1016" s="141"/>
      <c r="BA1016" s="141"/>
      <c r="BB1016" s="141"/>
      <c r="BC1016" s="141"/>
      <c r="BD1016" s="141"/>
      <c r="BE1016" s="141"/>
      <c r="BF1016" s="140"/>
      <c r="BG1016" s="139"/>
      <c r="BH1016" s="139"/>
      <c r="BI1016" s="139"/>
      <c r="BJ1016" s="139"/>
      <c r="BK1016" s="139"/>
      <c r="BL1016" s="139"/>
      <c r="BM1016" s="139"/>
      <c r="BN1016" s="139"/>
      <c r="BO1016" s="139"/>
      <c r="BP1016" s="139"/>
      <c r="BQ1016" s="139"/>
      <c r="BR1016" s="139"/>
      <c r="BS1016" s="139"/>
      <c r="BT1016" s="139"/>
      <c r="BU1016" s="139"/>
      <c r="BV1016" s="139"/>
      <c r="BW1016" s="139"/>
      <c r="BX1016" s="139"/>
      <c r="BY1016" s="139"/>
      <c r="BZ1016" s="139"/>
      <c r="CA1016" s="139"/>
      <c r="CB1016" s="142">
        <f t="shared" si="4"/>
        <v>0</v>
      </c>
    </row>
    <row r="1017" spans="8:80" x14ac:dyDescent="0.15">
      <c r="H1017" s="140"/>
      <c r="I1017" s="140"/>
      <c r="J1017" s="140"/>
      <c r="K1017" s="140"/>
      <c r="L1017" s="140"/>
      <c r="M1017" s="140"/>
      <c r="N1017" s="140"/>
      <c r="O1017" s="140"/>
      <c r="P1017" s="140"/>
      <c r="Q1017" s="140"/>
      <c r="R1017" s="140"/>
      <c r="S1017" s="140"/>
      <c r="T1017" s="140"/>
      <c r="U1017" s="140"/>
      <c r="V1017" s="140"/>
      <c r="W1017" s="140"/>
      <c r="X1017" s="140"/>
      <c r="Y1017" s="140"/>
      <c r="Z1017" s="140"/>
      <c r="AA1017" s="141"/>
      <c r="AB1017" s="141"/>
      <c r="AC1017" s="141"/>
      <c r="AD1017" s="141"/>
      <c r="AE1017" s="141"/>
      <c r="AF1017" s="141"/>
      <c r="AG1017" s="141"/>
      <c r="AH1017" s="141"/>
      <c r="AI1017" s="141"/>
      <c r="AJ1017" s="141"/>
      <c r="AK1017" s="141"/>
      <c r="AL1017" s="141"/>
      <c r="AM1017" s="141"/>
      <c r="AN1017" s="141"/>
      <c r="AO1017" s="141"/>
      <c r="AP1017" s="141"/>
      <c r="AQ1017" s="141"/>
      <c r="AR1017" s="141"/>
      <c r="AS1017" s="141"/>
      <c r="AT1017" s="141"/>
      <c r="AU1017" s="141"/>
      <c r="AV1017" s="141"/>
      <c r="AW1017" s="141"/>
      <c r="AX1017" s="141"/>
      <c r="AY1017" s="141"/>
      <c r="AZ1017" s="141"/>
      <c r="BA1017" s="141"/>
      <c r="BB1017" s="141"/>
      <c r="BC1017" s="141"/>
      <c r="BD1017" s="141"/>
      <c r="BE1017" s="141"/>
      <c r="BF1017" s="140"/>
      <c r="BG1017" s="139"/>
      <c r="BH1017" s="139"/>
      <c r="BI1017" s="139"/>
      <c r="BJ1017" s="139"/>
      <c r="BK1017" s="139"/>
      <c r="BL1017" s="139"/>
      <c r="BM1017" s="139"/>
      <c r="BN1017" s="139"/>
      <c r="BO1017" s="139"/>
      <c r="BP1017" s="139"/>
      <c r="BQ1017" s="139"/>
      <c r="BR1017" s="139"/>
      <c r="BS1017" s="139"/>
      <c r="BT1017" s="139"/>
      <c r="BU1017" s="139"/>
      <c r="BV1017" s="139"/>
      <c r="BW1017" s="139"/>
      <c r="BX1017" s="139"/>
      <c r="BY1017" s="139"/>
      <c r="BZ1017" s="139"/>
      <c r="CA1017" s="139"/>
      <c r="CB1017" s="142">
        <f t="shared" si="4"/>
        <v>0</v>
      </c>
    </row>
    <row r="1018" spans="8:80" x14ac:dyDescent="0.15">
      <c r="H1018" s="140"/>
      <c r="I1018" s="140"/>
      <c r="J1018" s="140"/>
      <c r="K1018" s="140"/>
      <c r="L1018" s="140"/>
      <c r="M1018" s="140"/>
      <c r="N1018" s="140"/>
      <c r="O1018" s="140"/>
      <c r="P1018" s="140"/>
      <c r="Q1018" s="140"/>
      <c r="R1018" s="140"/>
      <c r="S1018" s="140"/>
      <c r="T1018" s="140"/>
      <c r="U1018" s="140"/>
      <c r="V1018" s="140"/>
      <c r="W1018" s="140"/>
      <c r="X1018" s="140"/>
      <c r="Y1018" s="140"/>
      <c r="Z1018" s="140"/>
      <c r="AA1018" s="141"/>
      <c r="AB1018" s="141"/>
      <c r="AC1018" s="141"/>
      <c r="AD1018" s="141"/>
      <c r="AE1018" s="141"/>
      <c r="AF1018" s="141"/>
      <c r="AG1018" s="141"/>
      <c r="AH1018" s="141"/>
      <c r="AI1018" s="141"/>
      <c r="AJ1018" s="141"/>
      <c r="AK1018" s="141"/>
      <c r="AL1018" s="141"/>
      <c r="AM1018" s="141"/>
      <c r="AN1018" s="141"/>
      <c r="AO1018" s="141"/>
      <c r="AP1018" s="141"/>
      <c r="AQ1018" s="141"/>
      <c r="AR1018" s="141"/>
      <c r="AS1018" s="141"/>
      <c r="AT1018" s="141"/>
      <c r="AU1018" s="141"/>
      <c r="AV1018" s="141"/>
      <c r="AW1018" s="141"/>
      <c r="AX1018" s="141"/>
      <c r="AY1018" s="141"/>
      <c r="AZ1018" s="141"/>
      <c r="BA1018" s="141"/>
      <c r="BB1018" s="141"/>
      <c r="BC1018" s="141"/>
      <c r="BD1018" s="141"/>
      <c r="BE1018" s="141"/>
      <c r="BF1018" s="140"/>
      <c r="BG1018" s="139"/>
      <c r="BH1018" s="139"/>
      <c r="BI1018" s="139"/>
      <c r="BJ1018" s="139"/>
      <c r="BK1018" s="139"/>
      <c r="BL1018" s="139"/>
      <c r="BM1018" s="139"/>
      <c r="BN1018" s="139"/>
      <c r="BO1018" s="139"/>
      <c r="BP1018" s="139"/>
      <c r="BQ1018" s="139"/>
      <c r="BR1018" s="139"/>
      <c r="BS1018" s="139"/>
      <c r="BT1018" s="139"/>
      <c r="BU1018" s="139"/>
      <c r="BV1018" s="139"/>
      <c r="BW1018" s="139"/>
      <c r="BX1018" s="139"/>
      <c r="BY1018" s="139"/>
      <c r="BZ1018" s="139"/>
      <c r="CA1018" s="139"/>
      <c r="CB1018" s="142">
        <f t="shared" si="4"/>
        <v>0</v>
      </c>
    </row>
    <row r="1019" spans="8:80" x14ac:dyDescent="0.15">
      <c r="H1019" s="140"/>
      <c r="I1019" s="140"/>
      <c r="J1019" s="140"/>
      <c r="K1019" s="140"/>
      <c r="L1019" s="140"/>
      <c r="M1019" s="140"/>
      <c r="N1019" s="140"/>
      <c r="O1019" s="140"/>
      <c r="P1019" s="140"/>
      <c r="Q1019" s="140"/>
      <c r="R1019" s="140"/>
      <c r="S1019" s="140"/>
      <c r="T1019" s="140"/>
      <c r="U1019" s="140"/>
      <c r="V1019" s="140"/>
      <c r="W1019" s="140"/>
      <c r="X1019" s="140"/>
      <c r="Y1019" s="140"/>
      <c r="Z1019" s="140"/>
      <c r="AA1019" s="141"/>
      <c r="AB1019" s="141"/>
      <c r="AC1019" s="141"/>
      <c r="AD1019" s="141"/>
      <c r="AE1019" s="141"/>
      <c r="AF1019" s="141"/>
      <c r="AG1019" s="141"/>
      <c r="AH1019" s="141"/>
      <c r="AI1019" s="141"/>
      <c r="AJ1019" s="141"/>
      <c r="AK1019" s="141"/>
      <c r="AL1019" s="141"/>
      <c r="AM1019" s="141"/>
      <c r="AN1019" s="141"/>
      <c r="AO1019" s="141"/>
      <c r="AP1019" s="141"/>
      <c r="AQ1019" s="141"/>
      <c r="AR1019" s="141"/>
      <c r="AS1019" s="141"/>
      <c r="AT1019" s="141"/>
      <c r="AU1019" s="141"/>
      <c r="AV1019" s="141"/>
      <c r="AW1019" s="141"/>
      <c r="AX1019" s="141"/>
      <c r="AY1019" s="141"/>
      <c r="AZ1019" s="141"/>
      <c r="BA1019" s="141"/>
      <c r="BB1019" s="141"/>
      <c r="BC1019" s="141"/>
      <c r="BD1019" s="141"/>
      <c r="BE1019" s="141"/>
      <c r="BF1019" s="140"/>
      <c r="BG1019" s="139"/>
      <c r="BH1019" s="139"/>
      <c r="BI1019" s="139"/>
      <c r="BJ1019" s="139"/>
      <c r="BK1019" s="139"/>
      <c r="BL1019" s="139"/>
      <c r="BM1019" s="139"/>
      <c r="BN1019" s="139"/>
      <c r="BO1019" s="139"/>
      <c r="BP1019" s="139"/>
      <c r="BQ1019" s="139"/>
      <c r="BR1019" s="139"/>
      <c r="BS1019" s="139"/>
      <c r="BT1019" s="139"/>
      <c r="BU1019" s="139"/>
      <c r="BV1019" s="139"/>
      <c r="BW1019" s="139"/>
      <c r="BX1019" s="139"/>
      <c r="BY1019" s="139"/>
      <c r="BZ1019" s="139"/>
      <c r="CA1019" s="139"/>
      <c r="CB1019" s="142">
        <f t="shared" si="4"/>
        <v>0</v>
      </c>
    </row>
    <row r="1020" spans="8:80" x14ac:dyDescent="0.15">
      <c r="H1020" s="140"/>
      <c r="I1020" s="140"/>
      <c r="J1020" s="140"/>
      <c r="K1020" s="140"/>
      <c r="L1020" s="140"/>
      <c r="M1020" s="140"/>
      <c r="N1020" s="140"/>
      <c r="O1020" s="140"/>
      <c r="P1020" s="140"/>
      <c r="Q1020" s="140"/>
      <c r="R1020" s="140"/>
      <c r="S1020" s="140"/>
      <c r="T1020" s="140"/>
      <c r="U1020" s="140"/>
      <c r="V1020" s="140"/>
      <c r="W1020" s="140"/>
      <c r="X1020" s="140"/>
      <c r="Y1020" s="140"/>
      <c r="Z1020" s="140"/>
      <c r="AA1020" s="141"/>
      <c r="AB1020" s="141"/>
      <c r="AC1020" s="141"/>
      <c r="AD1020" s="141"/>
      <c r="AE1020" s="141"/>
      <c r="AF1020" s="141"/>
      <c r="AG1020" s="141"/>
      <c r="AH1020" s="141"/>
      <c r="AI1020" s="141"/>
      <c r="AJ1020" s="141"/>
      <c r="AK1020" s="141"/>
      <c r="AL1020" s="141"/>
      <c r="AM1020" s="141"/>
      <c r="AN1020" s="141"/>
      <c r="AO1020" s="141"/>
      <c r="AP1020" s="141"/>
      <c r="AQ1020" s="141"/>
      <c r="AR1020" s="141"/>
      <c r="AS1020" s="141"/>
      <c r="AT1020" s="141"/>
      <c r="AU1020" s="141"/>
      <c r="AV1020" s="141"/>
      <c r="AW1020" s="141"/>
      <c r="AX1020" s="141"/>
      <c r="AY1020" s="141"/>
      <c r="AZ1020" s="141"/>
      <c r="BA1020" s="141"/>
      <c r="BB1020" s="141"/>
      <c r="BC1020" s="141"/>
      <c r="BD1020" s="141"/>
      <c r="BE1020" s="141"/>
      <c r="BF1020" s="140"/>
      <c r="BG1020" s="139"/>
      <c r="BH1020" s="139"/>
      <c r="BI1020" s="139"/>
      <c r="BJ1020" s="139"/>
      <c r="BK1020" s="139"/>
      <c r="BL1020" s="139"/>
      <c r="BM1020" s="139"/>
      <c r="BN1020" s="139"/>
      <c r="BO1020" s="139"/>
      <c r="BP1020" s="139"/>
      <c r="BQ1020" s="139"/>
      <c r="BR1020" s="139"/>
      <c r="BS1020" s="139"/>
      <c r="BT1020" s="139"/>
      <c r="BU1020" s="139"/>
      <c r="BV1020" s="139"/>
      <c r="BW1020" s="139"/>
      <c r="BX1020" s="139"/>
      <c r="BY1020" s="139"/>
      <c r="BZ1020" s="139"/>
      <c r="CA1020" s="139"/>
      <c r="CB1020" s="142">
        <f t="shared" si="4"/>
        <v>0</v>
      </c>
    </row>
    <row r="1021" spans="8:80" x14ac:dyDescent="0.15">
      <c r="H1021" s="140"/>
      <c r="I1021" s="140"/>
      <c r="J1021" s="140"/>
      <c r="K1021" s="140"/>
      <c r="L1021" s="140"/>
      <c r="M1021" s="140"/>
      <c r="N1021" s="140"/>
      <c r="O1021" s="140"/>
      <c r="P1021" s="140"/>
      <c r="Q1021" s="140"/>
      <c r="R1021" s="140"/>
      <c r="S1021" s="140"/>
      <c r="T1021" s="140"/>
      <c r="U1021" s="140"/>
      <c r="V1021" s="140"/>
      <c r="W1021" s="140"/>
      <c r="X1021" s="140"/>
      <c r="Y1021" s="140"/>
      <c r="Z1021" s="140"/>
      <c r="AA1021" s="141"/>
      <c r="AB1021" s="141"/>
      <c r="AC1021" s="141"/>
      <c r="AD1021" s="141"/>
      <c r="AE1021" s="141"/>
      <c r="AF1021" s="141"/>
      <c r="AG1021" s="141"/>
      <c r="AH1021" s="141"/>
      <c r="AI1021" s="141"/>
      <c r="AJ1021" s="141"/>
      <c r="AK1021" s="141"/>
      <c r="AL1021" s="141"/>
      <c r="AM1021" s="141"/>
      <c r="AN1021" s="141"/>
      <c r="AO1021" s="141"/>
      <c r="AP1021" s="141"/>
      <c r="AQ1021" s="141"/>
      <c r="AR1021" s="141"/>
      <c r="AS1021" s="141"/>
      <c r="AT1021" s="141"/>
      <c r="AU1021" s="141"/>
      <c r="AV1021" s="141"/>
      <c r="AW1021" s="141"/>
      <c r="AX1021" s="141"/>
      <c r="AY1021" s="141"/>
      <c r="AZ1021" s="141"/>
      <c r="BA1021" s="141"/>
      <c r="BB1021" s="141"/>
      <c r="BC1021" s="141"/>
      <c r="BD1021" s="141"/>
      <c r="BE1021" s="141"/>
      <c r="BF1021" s="140"/>
      <c r="BG1021" s="139"/>
      <c r="BH1021" s="139"/>
      <c r="BI1021" s="139"/>
      <c r="BJ1021" s="139"/>
      <c r="BK1021" s="139"/>
      <c r="BL1021" s="139"/>
      <c r="BM1021" s="139"/>
      <c r="BN1021" s="139"/>
      <c r="BO1021" s="139"/>
      <c r="BP1021" s="139"/>
      <c r="BQ1021" s="139"/>
      <c r="BR1021" s="139"/>
      <c r="BS1021" s="139"/>
      <c r="BT1021" s="139"/>
      <c r="BU1021" s="139"/>
      <c r="BV1021" s="139"/>
      <c r="BW1021" s="139"/>
      <c r="BX1021" s="139"/>
      <c r="BY1021" s="139"/>
      <c r="BZ1021" s="139"/>
      <c r="CA1021" s="139"/>
      <c r="CB1021" s="142">
        <f t="shared" si="4"/>
        <v>0</v>
      </c>
    </row>
    <row r="1022" spans="8:80" x14ac:dyDescent="0.15">
      <c r="H1022" s="140"/>
      <c r="I1022" s="140"/>
      <c r="J1022" s="140"/>
      <c r="K1022" s="140"/>
      <c r="L1022" s="140"/>
      <c r="M1022" s="140"/>
      <c r="N1022" s="140"/>
      <c r="O1022" s="140"/>
      <c r="P1022" s="140"/>
      <c r="Q1022" s="140"/>
      <c r="R1022" s="140"/>
      <c r="S1022" s="140"/>
      <c r="T1022" s="140"/>
      <c r="U1022" s="140"/>
      <c r="V1022" s="140"/>
      <c r="W1022" s="140"/>
      <c r="X1022" s="140"/>
      <c r="Y1022" s="140"/>
      <c r="Z1022" s="140"/>
      <c r="AA1022" s="141"/>
      <c r="AB1022" s="141"/>
      <c r="AC1022" s="141"/>
      <c r="AD1022" s="141"/>
      <c r="AE1022" s="141"/>
      <c r="AF1022" s="141"/>
      <c r="AG1022" s="141"/>
      <c r="AH1022" s="141"/>
      <c r="AI1022" s="141"/>
      <c r="AJ1022" s="141"/>
      <c r="AK1022" s="141"/>
      <c r="AL1022" s="141"/>
      <c r="AM1022" s="141"/>
      <c r="AN1022" s="141"/>
      <c r="AO1022" s="141"/>
      <c r="AP1022" s="141"/>
      <c r="AQ1022" s="141"/>
      <c r="AR1022" s="141"/>
      <c r="AS1022" s="141"/>
      <c r="AT1022" s="141"/>
      <c r="AU1022" s="141"/>
      <c r="AV1022" s="141"/>
      <c r="AW1022" s="141"/>
      <c r="AX1022" s="141"/>
      <c r="AY1022" s="141"/>
      <c r="AZ1022" s="141"/>
      <c r="BA1022" s="141"/>
      <c r="BB1022" s="141"/>
      <c r="BC1022" s="141"/>
      <c r="BD1022" s="141"/>
      <c r="BE1022" s="141"/>
      <c r="BF1022" s="140"/>
      <c r="BG1022" s="139"/>
      <c r="BH1022" s="139"/>
      <c r="BI1022" s="139"/>
      <c r="BJ1022" s="139"/>
      <c r="BK1022" s="139"/>
      <c r="BL1022" s="139"/>
      <c r="BM1022" s="139"/>
      <c r="BN1022" s="139"/>
      <c r="BO1022" s="139"/>
      <c r="BP1022" s="139"/>
      <c r="BQ1022" s="139"/>
      <c r="BR1022" s="139"/>
      <c r="BS1022" s="139"/>
      <c r="BT1022" s="139"/>
      <c r="BU1022" s="139"/>
      <c r="BV1022" s="139"/>
      <c r="BW1022" s="139"/>
      <c r="BX1022" s="139"/>
      <c r="BY1022" s="139"/>
      <c r="BZ1022" s="139"/>
      <c r="CA1022" s="139"/>
      <c r="CB1022" s="142">
        <f t="shared" si="4"/>
        <v>0</v>
      </c>
    </row>
    <row r="1023" spans="8:80" x14ac:dyDescent="0.15">
      <c r="H1023" s="140"/>
      <c r="I1023" s="140"/>
      <c r="J1023" s="140"/>
      <c r="K1023" s="140"/>
      <c r="L1023" s="140"/>
      <c r="M1023" s="140"/>
      <c r="N1023" s="140"/>
      <c r="O1023" s="140"/>
      <c r="P1023" s="140"/>
      <c r="Q1023" s="140"/>
      <c r="R1023" s="140"/>
      <c r="S1023" s="140"/>
      <c r="T1023" s="140"/>
      <c r="U1023" s="140"/>
      <c r="V1023" s="140"/>
      <c r="W1023" s="140"/>
      <c r="X1023" s="140"/>
      <c r="Y1023" s="140"/>
      <c r="Z1023" s="140"/>
      <c r="AA1023" s="141"/>
      <c r="AB1023" s="141"/>
      <c r="AC1023" s="141"/>
      <c r="AD1023" s="141"/>
      <c r="AE1023" s="141"/>
      <c r="AF1023" s="141"/>
      <c r="AG1023" s="141"/>
      <c r="AH1023" s="141"/>
      <c r="AI1023" s="141"/>
      <c r="AJ1023" s="141"/>
      <c r="AK1023" s="141"/>
      <c r="AL1023" s="141"/>
      <c r="AM1023" s="141"/>
      <c r="AN1023" s="141"/>
      <c r="AO1023" s="141"/>
      <c r="AP1023" s="141"/>
      <c r="AQ1023" s="141"/>
      <c r="AR1023" s="141"/>
      <c r="AS1023" s="141"/>
      <c r="AT1023" s="141"/>
      <c r="AU1023" s="141"/>
      <c r="AV1023" s="141"/>
      <c r="AW1023" s="141"/>
      <c r="AX1023" s="141"/>
      <c r="AY1023" s="141"/>
      <c r="AZ1023" s="141"/>
      <c r="BA1023" s="141"/>
      <c r="BB1023" s="141"/>
      <c r="BC1023" s="141"/>
      <c r="BD1023" s="141"/>
      <c r="BE1023" s="141"/>
      <c r="BF1023" s="140"/>
      <c r="BG1023" s="139"/>
      <c r="BH1023" s="139"/>
      <c r="BI1023" s="139"/>
      <c r="BJ1023" s="139"/>
      <c r="BK1023" s="139"/>
      <c r="BL1023" s="139"/>
      <c r="BM1023" s="139"/>
      <c r="BN1023" s="139"/>
      <c r="BO1023" s="139"/>
      <c r="BP1023" s="139"/>
      <c r="BQ1023" s="139"/>
      <c r="BR1023" s="139"/>
      <c r="BS1023" s="139"/>
      <c r="BT1023" s="139"/>
      <c r="BU1023" s="139"/>
      <c r="BV1023" s="139"/>
      <c r="BW1023" s="139"/>
      <c r="BX1023" s="139"/>
      <c r="BY1023" s="139"/>
      <c r="BZ1023" s="139"/>
      <c r="CA1023" s="139"/>
      <c r="CB1023" s="142">
        <f t="shared" si="4"/>
        <v>0</v>
      </c>
    </row>
    <row r="1024" spans="8:80" x14ac:dyDescent="0.15">
      <c r="H1024" s="140"/>
      <c r="I1024" s="140"/>
      <c r="J1024" s="140"/>
      <c r="K1024" s="140"/>
      <c r="L1024" s="140"/>
      <c r="M1024" s="140"/>
      <c r="N1024" s="140"/>
      <c r="O1024" s="140"/>
      <c r="P1024" s="140"/>
      <c r="Q1024" s="140"/>
      <c r="R1024" s="140"/>
      <c r="S1024" s="140"/>
      <c r="T1024" s="140"/>
      <c r="U1024" s="140"/>
      <c r="V1024" s="140"/>
      <c r="W1024" s="140"/>
      <c r="X1024" s="140"/>
      <c r="Y1024" s="140"/>
      <c r="Z1024" s="140"/>
      <c r="AA1024" s="141"/>
      <c r="AB1024" s="141"/>
      <c r="AC1024" s="141"/>
      <c r="AD1024" s="141"/>
      <c r="AE1024" s="141"/>
      <c r="AF1024" s="141"/>
      <c r="AG1024" s="141"/>
      <c r="AH1024" s="141"/>
      <c r="AI1024" s="141"/>
      <c r="AJ1024" s="141"/>
      <c r="AK1024" s="141"/>
      <c r="AL1024" s="141"/>
      <c r="AM1024" s="141"/>
      <c r="AN1024" s="141"/>
      <c r="AO1024" s="141"/>
      <c r="AP1024" s="141"/>
      <c r="AQ1024" s="141"/>
      <c r="AR1024" s="141"/>
      <c r="AS1024" s="141"/>
      <c r="AT1024" s="141"/>
      <c r="AU1024" s="141"/>
      <c r="AV1024" s="141"/>
      <c r="AW1024" s="141"/>
      <c r="AX1024" s="141"/>
      <c r="AY1024" s="141"/>
      <c r="AZ1024" s="141"/>
      <c r="BA1024" s="141"/>
      <c r="BB1024" s="141"/>
      <c r="BC1024" s="141"/>
      <c r="BD1024" s="141"/>
      <c r="BE1024" s="141"/>
      <c r="BF1024" s="140"/>
      <c r="BG1024" s="139"/>
      <c r="BH1024" s="139"/>
      <c r="BI1024" s="139"/>
      <c r="BJ1024" s="139"/>
      <c r="BK1024" s="139"/>
      <c r="BL1024" s="139"/>
      <c r="BM1024" s="139"/>
      <c r="BN1024" s="139"/>
      <c r="BO1024" s="139"/>
      <c r="BP1024" s="139"/>
      <c r="BQ1024" s="139"/>
      <c r="BR1024" s="139"/>
      <c r="BS1024" s="139"/>
      <c r="BT1024" s="139"/>
      <c r="BU1024" s="139"/>
      <c r="BV1024" s="139"/>
      <c r="BW1024" s="139"/>
      <c r="BX1024" s="139"/>
      <c r="BY1024" s="139"/>
      <c r="BZ1024" s="139"/>
      <c r="CA1024" s="139"/>
      <c r="CB1024" s="142">
        <f t="shared" si="4"/>
        <v>0</v>
      </c>
    </row>
    <row r="1025" spans="8:80" x14ac:dyDescent="0.15">
      <c r="H1025" s="140"/>
      <c r="I1025" s="140"/>
      <c r="J1025" s="140"/>
      <c r="K1025" s="140"/>
      <c r="L1025" s="140"/>
      <c r="M1025" s="140"/>
      <c r="N1025" s="140"/>
      <c r="O1025" s="140"/>
      <c r="P1025" s="140"/>
      <c r="Q1025" s="140"/>
      <c r="R1025" s="140"/>
      <c r="S1025" s="140"/>
      <c r="T1025" s="140"/>
      <c r="U1025" s="140"/>
      <c r="V1025" s="140"/>
      <c r="W1025" s="140"/>
      <c r="X1025" s="140"/>
      <c r="Y1025" s="140"/>
      <c r="Z1025" s="140"/>
      <c r="AA1025" s="141"/>
      <c r="AB1025" s="141"/>
      <c r="AC1025" s="141"/>
      <c r="AD1025" s="141"/>
      <c r="AE1025" s="141"/>
      <c r="AF1025" s="141"/>
      <c r="AG1025" s="141"/>
      <c r="AH1025" s="141"/>
      <c r="AI1025" s="141"/>
      <c r="AJ1025" s="141"/>
      <c r="AK1025" s="141"/>
      <c r="AL1025" s="141"/>
      <c r="AM1025" s="141"/>
      <c r="AN1025" s="141"/>
      <c r="AO1025" s="141"/>
      <c r="AP1025" s="141"/>
      <c r="AQ1025" s="141"/>
      <c r="AR1025" s="141"/>
      <c r="AS1025" s="141"/>
      <c r="AT1025" s="141"/>
      <c r="AU1025" s="141"/>
      <c r="AV1025" s="141"/>
      <c r="AW1025" s="141"/>
      <c r="AX1025" s="141"/>
      <c r="AY1025" s="141"/>
      <c r="AZ1025" s="141"/>
      <c r="BA1025" s="141"/>
      <c r="BB1025" s="141"/>
      <c r="BC1025" s="141"/>
      <c r="BD1025" s="141"/>
      <c r="BE1025" s="141"/>
      <c r="BF1025" s="140"/>
      <c r="BG1025" s="139"/>
      <c r="BH1025" s="139"/>
      <c r="BI1025" s="139"/>
      <c r="BJ1025" s="139"/>
      <c r="BK1025" s="139"/>
      <c r="BL1025" s="139"/>
      <c r="BM1025" s="139"/>
      <c r="BN1025" s="139"/>
      <c r="BO1025" s="139"/>
      <c r="BP1025" s="139"/>
      <c r="BQ1025" s="139"/>
      <c r="BR1025" s="139"/>
      <c r="BS1025" s="139"/>
      <c r="BT1025" s="139"/>
      <c r="BU1025" s="139"/>
      <c r="BV1025" s="139"/>
      <c r="BW1025" s="139"/>
      <c r="BX1025" s="139"/>
      <c r="BY1025" s="139"/>
      <c r="BZ1025" s="139"/>
      <c r="CA1025" s="139"/>
      <c r="CB1025" s="142">
        <f t="shared" si="4"/>
        <v>0</v>
      </c>
    </row>
    <row r="1026" spans="8:80" x14ac:dyDescent="0.15">
      <c r="H1026" s="140"/>
      <c r="I1026" s="140"/>
      <c r="J1026" s="140"/>
      <c r="K1026" s="140"/>
      <c r="L1026" s="140"/>
      <c r="M1026" s="140"/>
      <c r="N1026" s="140"/>
      <c r="O1026" s="140"/>
      <c r="P1026" s="140"/>
      <c r="Q1026" s="140"/>
      <c r="R1026" s="140"/>
      <c r="S1026" s="140"/>
      <c r="T1026" s="140"/>
      <c r="U1026" s="140"/>
      <c r="V1026" s="140"/>
      <c r="W1026" s="140"/>
      <c r="X1026" s="140"/>
      <c r="Y1026" s="140"/>
      <c r="Z1026" s="140"/>
      <c r="AA1026" s="141"/>
      <c r="AB1026" s="141"/>
      <c r="AC1026" s="141"/>
      <c r="AD1026" s="141"/>
      <c r="AE1026" s="141"/>
      <c r="AF1026" s="141"/>
      <c r="AG1026" s="141"/>
      <c r="AH1026" s="141"/>
      <c r="AI1026" s="141"/>
      <c r="AJ1026" s="141"/>
      <c r="AK1026" s="141"/>
      <c r="AL1026" s="141"/>
      <c r="AM1026" s="141"/>
      <c r="AN1026" s="141"/>
      <c r="AO1026" s="141"/>
      <c r="AP1026" s="141"/>
      <c r="AQ1026" s="141"/>
      <c r="AR1026" s="141"/>
      <c r="AS1026" s="141"/>
      <c r="AT1026" s="141"/>
      <c r="AU1026" s="141"/>
      <c r="AV1026" s="141"/>
      <c r="AW1026" s="141"/>
      <c r="AX1026" s="141"/>
      <c r="AY1026" s="141"/>
      <c r="AZ1026" s="141"/>
      <c r="BA1026" s="141"/>
      <c r="BB1026" s="141"/>
      <c r="BC1026" s="141"/>
      <c r="BD1026" s="141"/>
      <c r="BE1026" s="141"/>
      <c r="BF1026" s="140"/>
      <c r="BG1026" s="139"/>
      <c r="BH1026" s="139"/>
      <c r="BI1026" s="139"/>
      <c r="BJ1026" s="139"/>
      <c r="BK1026" s="139"/>
      <c r="BL1026" s="139"/>
      <c r="BM1026" s="139"/>
      <c r="BN1026" s="139"/>
      <c r="BO1026" s="139"/>
      <c r="BP1026" s="139"/>
      <c r="BQ1026" s="139"/>
      <c r="BR1026" s="139"/>
      <c r="BS1026" s="139"/>
      <c r="BT1026" s="139"/>
      <c r="BU1026" s="139"/>
      <c r="BV1026" s="139"/>
      <c r="BW1026" s="139"/>
      <c r="BX1026" s="139"/>
      <c r="BY1026" s="139"/>
      <c r="BZ1026" s="139"/>
      <c r="CA1026" s="139"/>
      <c r="CB1026" s="142">
        <f t="shared" si="4"/>
        <v>0</v>
      </c>
    </row>
    <row r="1027" spans="8:80" x14ac:dyDescent="0.15">
      <c r="H1027" s="140"/>
      <c r="I1027" s="140"/>
      <c r="J1027" s="140"/>
      <c r="K1027" s="140"/>
      <c r="L1027" s="140"/>
      <c r="M1027" s="140"/>
      <c r="N1027" s="140"/>
      <c r="O1027" s="140"/>
      <c r="P1027" s="140"/>
      <c r="Q1027" s="140"/>
      <c r="R1027" s="140"/>
      <c r="S1027" s="140"/>
      <c r="T1027" s="140"/>
      <c r="U1027" s="140"/>
      <c r="V1027" s="140"/>
      <c r="W1027" s="140"/>
      <c r="X1027" s="140"/>
      <c r="Y1027" s="140"/>
      <c r="Z1027" s="140"/>
      <c r="AA1027" s="141"/>
      <c r="AB1027" s="141"/>
      <c r="AC1027" s="141"/>
      <c r="AD1027" s="141"/>
      <c r="AE1027" s="141"/>
      <c r="AF1027" s="141"/>
      <c r="AG1027" s="141"/>
      <c r="AH1027" s="141"/>
      <c r="AI1027" s="141"/>
      <c r="AJ1027" s="141"/>
      <c r="AK1027" s="141"/>
      <c r="AL1027" s="141"/>
      <c r="AM1027" s="141"/>
      <c r="AN1027" s="141"/>
      <c r="AO1027" s="141"/>
      <c r="AP1027" s="141"/>
      <c r="AQ1027" s="141"/>
      <c r="AR1027" s="141"/>
      <c r="AS1027" s="141"/>
      <c r="AT1027" s="141"/>
      <c r="AU1027" s="141"/>
      <c r="AV1027" s="141"/>
      <c r="AW1027" s="141"/>
      <c r="AX1027" s="141"/>
      <c r="AY1027" s="141"/>
      <c r="AZ1027" s="141"/>
      <c r="BA1027" s="141"/>
      <c r="BB1027" s="141"/>
      <c r="BC1027" s="141"/>
      <c r="BD1027" s="141"/>
      <c r="BE1027" s="141"/>
      <c r="BF1027" s="140"/>
      <c r="BG1027" s="139"/>
      <c r="BH1027" s="139"/>
      <c r="BI1027" s="139"/>
      <c r="BJ1027" s="139"/>
      <c r="BK1027" s="139"/>
      <c r="BL1027" s="139"/>
      <c r="BM1027" s="139"/>
      <c r="BN1027" s="139"/>
      <c r="BO1027" s="139"/>
      <c r="BP1027" s="139"/>
      <c r="BQ1027" s="139"/>
      <c r="BR1027" s="139"/>
      <c r="BS1027" s="139"/>
      <c r="BT1027" s="139"/>
      <c r="BU1027" s="139"/>
      <c r="BV1027" s="139"/>
      <c r="BW1027" s="139"/>
      <c r="BX1027" s="139"/>
      <c r="BY1027" s="139"/>
      <c r="BZ1027" s="139"/>
      <c r="CA1027" s="139"/>
      <c r="CB1027" s="142">
        <f t="shared" si="4"/>
        <v>0</v>
      </c>
    </row>
    <row r="1028" spans="8:80" x14ac:dyDescent="0.15">
      <c r="H1028" s="140"/>
      <c r="I1028" s="140"/>
      <c r="J1028" s="140"/>
      <c r="K1028" s="140"/>
      <c r="L1028" s="140"/>
      <c r="M1028" s="140"/>
      <c r="N1028" s="140"/>
      <c r="O1028" s="140"/>
      <c r="P1028" s="140"/>
      <c r="Q1028" s="140"/>
      <c r="R1028" s="140"/>
      <c r="S1028" s="140"/>
      <c r="T1028" s="140"/>
      <c r="U1028" s="140"/>
      <c r="V1028" s="140"/>
      <c r="W1028" s="140"/>
      <c r="X1028" s="140"/>
      <c r="Y1028" s="140"/>
      <c r="Z1028" s="140"/>
      <c r="AA1028" s="141"/>
      <c r="AB1028" s="141"/>
      <c r="AC1028" s="141"/>
      <c r="AD1028" s="141"/>
      <c r="AE1028" s="141"/>
      <c r="AF1028" s="141"/>
      <c r="AG1028" s="141"/>
      <c r="AH1028" s="141"/>
      <c r="AI1028" s="141"/>
      <c r="AJ1028" s="141"/>
      <c r="AK1028" s="141"/>
      <c r="AL1028" s="141"/>
      <c r="AM1028" s="141"/>
      <c r="AN1028" s="141"/>
      <c r="AO1028" s="141"/>
      <c r="AP1028" s="141"/>
      <c r="AQ1028" s="141"/>
      <c r="AR1028" s="141"/>
      <c r="AS1028" s="141"/>
      <c r="AT1028" s="141"/>
      <c r="AU1028" s="141"/>
      <c r="AV1028" s="141"/>
      <c r="AW1028" s="141"/>
      <c r="AX1028" s="141"/>
      <c r="AY1028" s="141"/>
      <c r="AZ1028" s="141"/>
      <c r="BA1028" s="141"/>
      <c r="BB1028" s="141"/>
      <c r="BC1028" s="141"/>
      <c r="BD1028" s="141"/>
      <c r="BE1028" s="141"/>
      <c r="BF1028" s="140"/>
      <c r="BG1028" s="139"/>
      <c r="BH1028" s="139"/>
      <c r="BI1028" s="139"/>
      <c r="BJ1028" s="139"/>
      <c r="BK1028" s="139"/>
      <c r="BL1028" s="139"/>
      <c r="BM1028" s="139"/>
      <c r="BN1028" s="139"/>
      <c r="BO1028" s="139"/>
      <c r="BP1028" s="139"/>
      <c r="BQ1028" s="139"/>
      <c r="BR1028" s="139"/>
      <c r="BS1028" s="139"/>
      <c r="BT1028" s="139"/>
      <c r="BU1028" s="139"/>
      <c r="BV1028" s="139"/>
      <c r="BW1028" s="139"/>
      <c r="BX1028" s="139"/>
      <c r="BY1028" s="139"/>
      <c r="BZ1028" s="139"/>
      <c r="CA1028" s="139"/>
      <c r="CB1028" s="142">
        <f t="shared" si="4"/>
        <v>0</v>
      </c>
    </row>
    <row r="1029" spans="8:80" x14ac:dyDescent="0.15">
      <c r="H1029" s="140"/>
      <c r="I1029" s="140"/>
      <c r="J1029" s="140"/>
      <c r="K1029" s="140"/>
      <c r="L1029" s="140"/>
      <c r="M1029" s="140"/>
      <c r="N1029" s="140"/>
      <c r="O1029" s="140"/>
      <c r="P1029" s="140"/>
      <c r="Q1029" s="140"/>
      <c r="R1029" s="140"/>
      <c r="S1029" s="140"/>
      <c r="T1029" s="140"/>
      <c r="U1029" s="140"/>
      <c r="V1029" s="140"/>
      <c r="W1029" s="140"/>
      <c r="X1029" s="140"/>
      <c r="Y1029" s="140"/>
      <c r="Z1029" s="140"/>
      <c r="AA1029" s="141"/>
      <c r="AB1029" s="141"/>
      <c r="AC1029" s="141"/>
      <c r="AD1029" s="141"/>
      <c r="AE1029" s="141"/>
      <c r="AF1029" s="141"/>
      <c r="AG1029" s="141"/>
      <c r="AH1029" s="141"/>
      <c r="AI1029" s="141"/>
      <c r="AJ1029" s="141"/>
      <c r="AK1029" s="141"/>
      <c r="AL1029" s="141"/>
      <c r="AM1029" s="141"/>
      <c r="AN1029" s="141"/>
      <c r="AO1029" s="141"/>
      <c r="AP1029" s="141"/>
      <c r="AQ1029" s="141"/>
      <c r="AR1029" s="141"/>
      <c r="AS1029" s="141"/>
      <c r="AT1029" s="141"/>
      <c r="AU1029" s="141"/>
      <c r="AV1029" s="141"/>
      <c r="AW1029" s="141"/>
      <c r="AX1029" s="141"/>
      <c r="AY1029" s="141"/>
      <c r="AZ1029" s="141"/>
      <c r="BA1029" s="141"/>
      <c r="BB1029" s="141"/>
      <c r="BC1029" s="141"/>
      <c r="BD1029" s="141"/>
      <c r="BE1029" s="141"/>
      <c r="BF1029" s="140"/>
      <c r="BG1029" s="139"/>
      <c r="BH1029" s="139"/>
      <c r="BI1029" s="139"/>
      <c r="BJ1029" s="139"/>
      <c r="BK1029" s="139"/>
      <c r="BL1029" s="139"/>
      <c r="BM1029" s="139"/>
      <c r="BN1029" s="139"/>
      <c r="BO1029" s="139"/>
      <c r="BP1029" s="139"/>
      <c r="BQ1029" s="139"/>
      <c r="BR1029" s="139"/>
      <c r="BS1029" s="139"/>
      <c r="BT1029" s="139"/>
      <c r="BU1029" s="139"/>
      <c r="BV1029" s="139"/>
      <c r="BW1029" s="139"/>
      <c r="BX1029" s="139"/>
      <c r="BY1029" s="139"/>
      <c r="BZ1029" s="139"/>
      <c r="CA1029" s="139"/>
      <c r="CB1029" s="142">
        <f t="shared" si="4"/>
        <v>0</v>
      </c>
    </row>
    <row r="1100" spans="8:8" ht="21" x14ac:dyDescent="0.15">
      <c r="H1100" s="143" t="s">
        <v>216</v>
      </c>
    </row>
    <row r="1101" spans="8:8" ht="21" x14ac:dyDescent="0.15">
      <c r="H1101" s="143" t="s">
        <v>217</v>
      </c>
    </row>
    <row r="1102" spans="8:8" ht="21" x14ac:dyDescent="0.15">
      <c r="H1102" s="143" t="s">
        <v>218</v>
      </c>
    </row>
    <row r="1103" spans="8:8" ht="21" x14ac:dyDescent="0.15">
      <c r="H1103" s="143" t="s">
        <v>219</v>
      </c>
    </row>
    <row r="1104" spans="8:8" ht="21" x14ac:dyDescent="0.15">
      <c r="H1104" s="143" t="s">
        <v>220</v>
      </c>
    </row>
    <row r="1105" spans="8:8" ht="21" x14ac:dyDescent="0.15">
      <c r="H1105" s="143" t="s">
        <v>221</v>
      </c>
    </row>
    <row r="1106" spans="8:8" x14ac:dyDescent="0.15">
      <c r="H1106" s="144"/>
    </row>
    <row r="1107" spans="8:8" x14ac:dyDescent="0.15">
      <c r="H1107" s="144"/>
    </row>
    <row r="1108" spans="8:8" x14ac:dyDescent="0.15">
      <c r="H1108" s="145"/>
    </row>
  </sheetData>
  <mergeCells count="1">
    <mergeCell ref="S63:T63"/>
  </mergeCells>
  <phoneticPr fontId="3"/>
  <pageMargins left="0.39370078740157483" right="0.19685039370078741" top="0.98425196850393704" bottom="0.98425196850393704" header="0.51181102362204722" footer="0.51181102362204722"/>
  <pageSetup paperSize="9" scale="40" orientation="landscape" horizontalDpi="300" verticalDpi="300" r:id="rId1"/>
  <headerFooter alignWithMargins="0"/>
  <colBreaks count="1" manualBreakCount="1">
    <brk id="60" max="1048575" man="1"/>
  </colBreaks>
  <drawing r:id="rId2"/>
  <legacyDrawing r:id="rId3"/>
  <controls>
    <mc:AlternateContent xmlns:mc="http://schemas.openxmlformats.org/markup-compatibility/2006">
      <mc:Choice Requires="x14">
        <control shapeId="4117" r:id="rId4" name="CommandButton9">
          <controlPr defaultSize="0" print="0" autoLine="0" r:id="rId5">
            <anchor moveWithCells="1">
              <from>
                <xdr:col>4</xdr:col>
                <xdr:colOff>1381125</xdr:colOff>
                <xdr:row>2</xdr:row>
                <xdr:rowOff>0</xdr:rowOff>
              </from>
              <to>
                <xdr:col>5</xdr:col>
                <xdr:colOff>857250</xdr:colOff>
                <xdr:row>3</xdr:row>
                <xdr:rowOff>66675</xdr:rowOff>
              </to>
            </anchor>
          </controlPr>
        </control>
      </mc:Choice>
      <mc:Fallback>
        <control shapeId="4117" r:id="rId4" name="CommandButton9"/>
      </mc:Fallback>
    </mc:AlternateContent>
    <mc:AlternateContent xmlns:mc="http://schemas.openxmlformats.org/markup-compatibility/2006">
      <mc:Choice Requires="x14">
        <control shapeId="4116" r:id="rId6" name="CommandButton8">
          <controlPr defaultSize="0" print="0" autoLine="0" r:id="rId7">
            <anchor moveWithCells="1">
              <from>
                <xdr:col>4</xdr:col>
                <xdr:colOff>1381125</xdr:colOff>
                <xdr:row>0</xdr:row>
                <xdr:rowOff>76200</xdr:rowOff>
              </from>
              <to>
                <xdr:col>5</xdr:col>
                <xdr:colOff>857250</xdr:colOff>
                <xdr:row>1</xdr:row>
                <xdr:rowOff>219075</xdr:rowOff>
              </to>
            </anchor>
          </controlPr>
        </control>
      </mc:Choice>
      <mc:Fallback>
        <control shapeId="4116" r:id="rId6" name="CommandButton8"/>
      </mc:Fallback>
    </mc:AlternateContent>
    <mc:AlternateContent xmlns:mc="http://schemas.openxmlformats.org/markup-compatibility/2006">
      <mc:Choice Requires="x14">
        <control shapeId="4115" r:id="rId8" name="CommandButton7">
          <controlPr defaultSize="0" print="0" autoLine="0" r:id="rId9">
            <anchor moveWithCells="1">
              <from>
                <xdr:col>4</xdr:col>
                <xdr:colOff>180975</xdr:colOff>
                <xdr:row>2</xdr:row>
                <xdr:rowOff>0</xdr:rowOff>
              </from>
              <to>
                <xdr:col>4</xdr:col>
                <xdr:colOff>1323975</xdr:colOff>
                <xdr:row>3</xdr:row>
                <xdr:rowOff>66675</xdr:rowOff>
              </to>
            </anchor>
          </controlPr>
        </control>
      </mc:Choice>
      <mc:Fallback>
        <control shapeId="4115" r:id="rId8" name="CommandButton7"/>
      </mc:Fallback>
    </mc:AlternateContent>
    <mc:AlternateContent xmlns:mc="http://schemas.openxmlformats.org/markup-compatibility/2006">
      <mc:Choice Requires="x14">
        <control shapeId="4114" r:id="rId10" name="CommandButton6">
          <controlPr defaultSize="0" print="0" autoLine="0" r:id="rId11">
            <anchor moveWithCells="1">
              <from>
                <xdr:col>3</xdr:col>
                <xdr:colOff>1057275</xdr:colOff>
                <xdr:row>2</xdr:row>
                <xdr:rowOff>0</xdr:rowOff>
              </from>
              <to>
                <xdr:col>4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4114" r:id="rId10" name="CommandButton6"/>
      </mc:Fallback>
    </mc:AlternateContent>
    <mc:AlternateContent xmlns:mc="http://schemas.openxmlformats.org/markup-compatibility/2006">
      <mc:Choice Requires="x14">
        <control shapeId="4113" r:id="rId12" name="CommandButton5">
          <controlPr defaultSize="0" print="0" autoLine="0" r:id="rId13">
            <anchor moveWithCells="1">
              <from>
                <xdr:col>4</xdr:col>
                <xdr:colOff>180975</xdr:colOff>
                <xdr:row>0</xdr:row>
                <xdr:rowOff>76200</xdr:rowOff>
              </from>
              <to>
                <xdr:col>4</xdr:col>
                <xdr:colOff>1323975</xdr:colOff>
                <xdr:row>1</xdr:row>
                <xdr:rowOff>219075</xdr:rowOff>
              </to>
            </anchor>
          </controlPr>
        </control>
      </mc:Choice>
      <mc:Fallback>
        <control shapeId="4113" r:id="rId12" name="CommandButton5"/>
      </mc:Fallback>
    </mc:AlternateContent>
    <mc:AlternateContent xmlns:mc="http://schemas.openxmlformats.org/markup-compatibility/2006">
      <mc:Choice Requires="x14">
        <control shapeId="4112" r:id="rId14" name="CommandButton4">
          <controlPr defaultSize="0" print="0" autoLine="0" r:id="rId15">
            <anchor moveWithCells="1">
              <from>
                <xdr:col>11</xdr:col>
                <xdr:colOff>38100</xdr:colOff>
                <xdr:row>0</xdr:row>
                <xdr:rowOff>76200</xdr:rowOff>
              </from>
              <to>
                <xdr:col>12</xdr:col>
                <xdr:colOff>523875</xdr:colOff>
                <xdr:row>1</xdr:row>
                <xdr:rowOff>219075</xdr:rowOff>
              </to>
            </anchor>
          </controlPr>
        </control>
      </mc:Choice>
      <mc:Fallback>
        <control shapeId="4112" r:id="rId14" name="CommandButton4"/>
      </mc:Fallback>
    </mc:AlternateContent>
    <mc:AlternateContent xmlns:mc="http://schemas.openxmlformats.org/markup-compatibility/2006">
      <mc:Choice Requires="x14">
        <control shapeId="4111" r:id="rId16" name="cmdCopy">
          <controlPr defaultSize="0" print="0" autoLine="0" r:id="rId17">
            <anchor moveWithCells="1">
              <from>
                <xdr:col>3</xdr:col>
                <xdr:colOff>1057275</xdr:colOff>
                <xdr:row>0</xdr:row>
                <xdr:rowOff>76200</xdr:rowOff>
              </from>
              <to>
                <xdr:col>4</xdr:col>
                <xdr:colOff>152400</xdr:colOff>
                <xdr:row>1</xdr:row>
                <xdr:rowOff>219075</xdr:rowOff>
              </to>
            </anchor>
          </controlPr>
        </control>
      </mc:Choice>
      <mc:Fallback>
        <control shapeId="4111" r:id="rId16" name="cmdCopy"/>
      </mc:Fallback>
    </mc:AlternateContent>
    <mc:AlternateContent xmlns:mc="http://schemas.openxmlformats.org/markup-compatibility/2006">
      <mc:Choice Requires="x14">
        <control shapeId="4110" r:id="rId18" name="cmdHeadSet">
          <controlPr defaultSize="0" print="0" autoLine="0" r:id="rId19">
            <anchor moveWithCells="1">
              <from>
                <xdr:col>2</xdr:col>
                <xdr:colOff>1895475</xdr:colOff>
                <xdr:row>0</xdr:row>
                <xdr:rowOff>76200</xdr:rowOff>
              </from>
              <to>
                <xdr:col>3</xdr:col>
                <xdr:colOff>990600</xdr:colOff>
                <xdr:row>1</xdr:row>
                <xdr:rowOff>219075</xdr:rowOff>
              </to>
            </anchor>
          </controlPr>
        </control>
      </mc:Choice>
      <mc:Fallback>
        <control shapeId="4110" r:id="rId18" name="cmdHeadSet"/>
      </mc:Fallback>
    </mc:AlternateContent>
    <mc:AlternateContent xmlns:mc="http://schemas.openxmlformats.org/markup-compatibility/2006">
      <mc:Choice Requires="x14">
        <control shapeId="4109" r:id="rId20" name="CommandButton3">
          <controlPr defaultSize="0" print="0" autoLine="0" r:id="rId21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9</xdr:col>
                <xdr:colOff>428625</xdr:colOff>
                <xdr:row>3</xdr:row>
                <xdr:rowOff>66675</xdr:rowOff>
              </to>
            </anchor>
          </controlPr>
        </control>
      </mc:Choice>
      <mc:Fallback>
        <control shapeId="4109" r:id="rId20" name="CommandButton3"/>
      </mc:Fallback>
    </mc:AlternateContent>
    <mc:AlternateContent xmlns:mc="http://schemas.openxmlformats.org/markup-compatibility/2006">
      <mc:Choice Requires="x14">
        <control shapeId="4108" r:id="rId22" name="CommandButton2">
          <controlPr defaultSize="0" print="0" autoLine="0" r:id="rId23">
            <anchor moveWithCells="1">
              <from>
                <xdr:col>7</xdr:col>
                <xdr:colOff>333375</xdr:colOff>
                <xdr:row>0</xdr:row>
                <xdr:rowOff>76200</xdr:rowOff>
              </from>
              <to>
                <xdr:col>9</xdr:col>
                <xdr:colOff>161925</xdr:colOff>
                <xdr:row>1</xdr:row>
                <xdr:rowOff>219075</xdr:rowOff>
              </to>
            </anchor>
          </controlPr>
        </control>
      </mc:Choice>
      <mc:Fallback>
        <control shapeId="4108" r:id="rId22" name="CommandButton2"/>
      </mc:Fallback>
    </mc:AlternateContent>
    <mc:AlternateContent xmlns:mc="http://schemas.openxmlformats.org/markup-compatibility/2006">
      <mc:Choice Requires="x14">
        <control shapeId="4107" r:id="rId24" name="CommandButton1">
          <controlPr defaultSize="0" print="0" autoLine="0" r:id="rId25">
            <anchor moveWithCells="1">
              <from>
                <xdr:col>2</xdr:col>
                <xdr:colOff>1895475</xdr:colOff>
                <xdr:row>2</xdr:row>
                <xdr:rowOff>0</xdr:rowOff>
              </from>
              <to>
                <xdr:col>3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4107" r:id="rId2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2:AG104"/>
  <sheetViews>
    <sheetView showGridLines="0" view="pageBreakPreview" zoomScale="75" zoomScaleNormal="75" workbookViewId="0"/>
  </sheetViews>
  <sheetFormatPr defaultRowHeight="13.5" x14ac:dyDescent="0.15"/>
  <cols>
    <col min="1" max="1" width="7.75" customWidth="1"/>
    <col min="2" max="2" width="10.875" customWidth="1"/>
    <col min="3" max="3" width="27" customWidth="1"/>
    <col min="4" max="4" width="11.625" customWidth="1"/>
    <col min="5" max="5" width="7.75" customWidth="1"/>
    <col min="6" max="6" width="10.875" customWidth="1"/>
    <col min="7" max="7" width="27" customWidth="1"/>
    <col min="8" max="8" width="11.625" customWidth="1"/>
    <col min="9" max="9" width="7.75" customWidth="1"/>
    <col min="10" max="10" width="10.875" customWidth="1"/>
    <col min="11" max="11" width="27" customWidth="1"/>
    <col min="12" max="12" width="11.625" customWidth="1"/>
    <col min="13" max="13" width="7.875" customWidth="1"/>
    <col min="14" max="14" width="10.875" customWidth="1"/>
    <col min="15" max="15" width="27" customWidth="1"/>
    <col min="16" max="16" width="11.625" customWidth="1"/>
  </cols>
  <sheetData>
    <row r="2" spans="1:33" ht="14.25" x14ac:dyDescent="0.15">
      <c r="E2" s="227">
        <f ca="1">TODAY()</f>
        <v>45106</v>
      </c>
      <c r="F2" s="227"/>
    </row>
    <row r="3" spans="1:33" ht="14.25" x14ac:dyDescent="0.15">
      <c r="E3" s="117" t="s">
        <v>222</v>
      </c>
    </row>
    <row r="4" spans="1:33" ht="14.25" x14ac:dyDescent="0.15">
      <c r="E4" s="158" t="s">
        <v>223</v>
      </c>
      <c r="F4" s="159"/>
    </row>
    <row r="5" spans="1:33" ht="28.5" customHeight="1" thickBot="1" x14ac:dyDescent="0.2">
      <c r="A5" s="160" t="s">
        <v>0</v>
      </c>
      <c r="B5" s="161" t="str">
        <f>IF(原料情報１!$B1="","",原料情報１!$B1)</f>
        <v/>
      </c>
      <c r="C5" s="161"/>
      <c r="D5" s="162"/>
      <c r="E5" s="160"/>
      <c r="F5" s="163"/>
      <c r="G5" s="163"/>
      <c r="H5" s="164"/>
      <c r="I5" s="160"/>
      <c r="J5" s="163"/>
      <c r="K5" s="163"/>
      <c r="L5" s="164"/>
      <c r="M5" s="165"/>
      <c r="N5" s="165"/>
      <c r="O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</row>
    <row r="6" spans="1:33" s="166" customFormat="1" ht="14.25" x14ac:dyDescent="0.15">
      <c r="B6" s="167" t="s">
        <v>224</v>
      </c>
      <c r="C6" s="168" t="str">
        <f>IF(原料情報１!$B2="","",原料情報１!$B2)</f>
        <v/>
      </c>
      <c r="D6" s="168"/>
      <c r="F6" s="167" t="s">
        <v>224</v>
      </c>
      <c r="G6" s="168" t="str">
        <f>IF(原料情報２!$B2="","",原料情報２!$B2)</f>
        <v/>
      </c>
      <c r="H6" s="168"/>
      <c r="J6" s="167" t="s">
        <v>224</v>
      </c>
      <c r="K6" s="168" t="str">
        <f>IF(原料情報３!$B2="","",原料情報３!$B2)</f>
        <v/>
      </c>
      <c r="L6" s="168"/>
      <c r="N6" s="167" t="s">
        <v>224</v>
      </c>
      <c r="O6" s="169" t="str">
        <f>IF(原料情報４!$B2="","",原料情報４!$B2)</f>
        <v/>
      </c>
      <c r="P6" s="168"/>
    </row>
    <row r="7" spans="1:33" s="166" customFormat="1" ht="19.5" customHeight="1" thickBot="1" x14ac:dyDescent="0.2">
      <c r="B7" s="228" t="s">
        <v>180</v>
      </c>
      <c r="C7" s="229"/>
      <c r="D7" s="170" t="s">
        <v>225</v>
      </c>
      <c r="F7" s="228" t="s">
        <v>180</v>
      </c>
      <c r="G7" s="229"/>
      <c r="H7" s="170" t="s">
        <v>225</v>
      </c>
      <c r="J7" s="228" t="s">
        <v>180</v>
      </c>
      <c r="K7" s="229"/>
      <c r="L7" s="170" t="s">
        <v>225</v>
      </c>
      <c r="N7" s="228" t="s">
        <v>180</v>
      </c>
      <c r="O7" s="229"/>
      <c r="P7" s="170" t="s">
        <v>225</v>
      </c>
    </row>
    <row r="8" spans="1:33" ht="14.25" thickTop="1" x14ac:dyDescent="0.15">
      <c r="A8" s="165"/>
      <c r="B8" s="171" t="str">
        <f>IF(OR(表示案１!$H$7="",表示案１!$H$7="-",表示案１!$H$7="*"),"",表示案１!$H$7)</f>
        <v/>
      </c>
      <c r="C8" s="172"/>
      <c r="D8" s="173" t="str">
        <f>IF(表示案１!$H$60=0,"",(IF(表示案１!$H$60&lt;$C$76/100,IF(OR(D7="少量",D7=" 〃 ")," 〃 ","少量"),DBCS(FIXED(表示案１!$H$60*100,$C$78))&amp;"％")))</f>
        <v/>
      </c>
      <c r="E8" s="165"/>
      <c r="F8" s="171" t="str">
        <f>IF(OR(表示案２!$H$7="",表示案２!$H$7="-",表示案２!$H$7="*"),"",表示案２!$H$7)</f>
        <v/>
      </c>
      <c r="G8" s="172"/>
      <c r="H8" s="173" t="str">
        <f>IF(表示案２!$H$60=0,"",(IF(表示案２!$H$60&lt;$G$76/100,IF(OR(H7="少量",H7=" 〃 ")," 〃 ","少量"),DBCS(FIXED(表示案２!$H$60*100,$G$78))&amp;"％")))</f>
        <v/>
      </c>
      <c r="I8" s="165"/>
      <c r="J8" s="171" t="str">
        <f>IF(OR(表示案３!$H$7="",表示案３!$H$7="-",表示案３!$H$7="*"),"",表示案３!$H$7)</f>
        <v/>
      </c>
      <c r="K8" s="172"/>
      <c r="L8" s="173" t="str">
        <f>IF(表示案３!$H$60=0,"",(IF(表示案３!$H$60&lt;$K$76/100,IF(OR(L7="少量",L7=" 〃 ")," 〃 ","少量"),DBCS(FIXED(表示案３!$H$60*100,$K$78))&amp;"％")))</f>
        <v/>
      </c>
      <c r="M8" s="165"/>
      <c r="N8" s="171" t="str">
        <f>IF(OR(表示案４!$H$7="",表示案４!$H$7="-",表示案４!$H$7="*"),"",表示案４!$H$7)</f>
        <v/>
      </c>
      <c r="O8" s="172"/>
      <c r="P8" s="173" t="str">
        <f>IF(表示案４!$H$60=0,"",(IF(表示案４!$H$60&lt;$O$76/100,IF(OR(P7="少量",P7=" 〃 ")," 〃 ","少量"),DBCS(FIXED(表示案４!$H$60*100,$O$78))&amp;"％")))</f>
        <v/>
      </c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</row>
    <row r="9" spans="1:33" x14ac:dyDescent="0.15">
      <c r="A9" s="165"/>
      <c r="B9" s="171" t="str">
        <f>IF(OR(表示案１!$I$7="",表示案１!$I$7="-",表示案１!$I$7="*"),"",表示案１!$I$7)</f>
        <v/>
      </c>
      <c r="C9" s="174"/>
      <c r="D9" s="175" t="str">
        <f>IF(表示案１!$I$60=0,"",(IF(表示案１!$I$60&lt;$C$76/100,IF(OR(D8="少量",D8=" 〃 ")," 〃 ","少量"),DBCS(FIXED(表示案１!$I$60*100,$C$78))&amp;"％")))</f>
        <v/>
      </c>
      <c r="E9" s="165"/>
      <c r="F9" s="171" t="str">
        <f>IF(OR(表示案２!$I$7="",表示案２!$I$7="-",表示案２!$I$7="*"),"",表示案２!$I$7)</f>
        <v/>
      </c>
      <c r="G9" s="174"/>
      <c r="H9" s="175" t="str">
        <f>IF(表示案２!$I$60=0,"",(IF(表示案２!$I$60&lt;$G$76/100,IF(OR(H8="少量",H8=" 〃 ")," 〃 ","少量"),DBCS(FIXED(表示案２!$I$60*100,$G$78))&amp;"％")))</f>
        <v/>
      </c>
      <c r="I9" s="165"/>
      <c r="J9" s="171" t="str">
        <f>IF(OR(表示案３!$I$7="",表示案３!$I$7="-",表示案３!$I$7="*"),"",表示案３!$I$7)</f>
        <v/>
      </c>
      <c r="K9" s="174"/>
      <c r="L9" s="173" t="str">
        <f>IF(表示案３!$I$60=0,"",(IF(表示案３!$I$60&lt;$K$76/100,IF(OR(L8="少量",L8=" 〃 ")," 〃 ","少量"),DBCS(FIXED(表示案３!$I$60*100,$K$78))&amp;"％")))</f>
        <v/>
      </c>
      <c r="M9" s="165"/>
      <c r="N9" s="171" t="str">
        <f>IF(OR(表示案４!$I$7="",表示案４!$I$7="-",表示案４!$I$7="*"),"",表示案４!$I$7)</f>
        <v/>
      </c>
      <c r="O9" s="174"/>
      <c r="P9" s="173" t="str">
        <f>IF(表示案４!$I$60=0,"",(IF(表示案４!$I$60&lt;$O$76/100,IF(OR(P8="少量",P8=" 〃 ")," 〃 ","少量"),DBCS(FIXED(表示案４!$I$60*100,$O$78))&amp;"％")))</f>
        <v/>
      </c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</row>
    <row r="10" spans="1:33" x14ac:dyDescent="0.15">
      <c r="A10" s="165"/>
      <c r="B10" s="171" t="str">
        <f>IF(OR(表示案１!$J$7="",表示案１!$J$7="-",表示案１!$J$7="*"),"",表示案１!$J$7)</f>
        <v/>
      </c>
      <c r="C10" s="174"/>
      <c r="D10" s="175" t="str">
        <f>IF(表示案１!$J$60=0,"",(IF(表示案１!$J$60&lt;$C$76/100,IF(OR(D9="少量",D9=" 〃 ")," 〃 ","少量"),DBCS(FIXED(表示案１!$J$60*100,$C$78))&amp;"％")))</f>
        <v/>
      </c>
      <c r="E10" s="165"/>
      <c r="F10" s="171" t="str">
        <f>IF(OR(表示案２!$J$7="",表示案２!$J$7="-",表示案２!$J$7="*"),"",表示案２!$J$7)</f>
        <v/>
      </c>
      <c r="G10" s="174"/>
      <c r="H10" s="175" t="str">
        <f>IF(表示案２!$J$60=0,"",(IF(表示案２!$J$60&lt;$G$76/100,IF(OR(H9="少量",H9=" 〃 ")," 〃 ","少量"),DBCS(FIXED(表示案２!$J$60*100,$G$78))&amp;"％")))</f>
        <v/>
      </c>
      <c r="I10" s="165"/>
      <c r="J10" s="171" t="str">
        <f>IF(OR(表示案３!$J$7="",表示案３!$J$7="-",表示案３!$J$7="*"),"",表示案３!$J$7)</f>
        <v/>
      </c>
      <c r="K10" s="174"/>
      <c r="L10" s="173" t="str">
        <f>IF(表示案３!$J$60=0,"",(IF(表示案３!$J$60&lt;$K$76/100,IF(OR(L9="少量",L9=" 〃 ")," 〃 ","少量"),DBCS(FIXED(表示案３!$J$60*100,$K$78))&amp;"％")))</f>
        <v/>
      </c>
      <c r="M10" s="165"/>
      <c r="N10" s="171" t="str">
        <f>IF(OR(表示案４!$J$7="",表示案４!$J$7="-",表示案４!$J$7="*"),"",表示案４!$J$7)</f>
        <v/>
      </c>
      <c r="O10" s="174"/>
      <c r="P10" s="173" t="str">
        <f>IF(表示案４!$J$60=0,"",(IF(表示案４!$J$60&lt;$O$76/100,IF(OR(P9="少量",P9=" 〃 ")," 〃 ","少量"),DBCS(FIXED(表示案４!$J$60*100,$O$78))&amp;"％")))</f>
        <v/>
      </c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</row>
    <row r="11" spans="1:33" x14ac:dyDescent="0.15">
      <c r="A11" s="165"/>
      <c r="B11" s="171" t="str">
        <f>IF(OR(表示案１!$K$7="",表示案１!$K$7="-",表示案１!$K$7="*"),"",表示案１!$K$7)</f>
        <v/>
      </c>
      <c r="C11" s="174"/>
      <c r="D11" s="175" t="str">
        <f>IF(表示案１!$K$60=0,"",(IF(表示案１!$K$60&lt;$C$76/100,IF(OR(D10="少量",D10=" 〃 ")," 〃 ","少量"),DBCS(FIXED(表示案１!$K$60*100,$C$78))&amp;"％")))</f>
        <v/>
      </c>
      <c r="E11" s="165"/>
      <c r="F11" s="171" t="str">
        <f>IF(OR(表示案２!$K$7="",表示案２!$K$7="-",表示案２!$K$7="*"),"",表示案２!$K$7)</f>
        <v/>
      </c>
      <c r="G11" s="174"/>
      <c r="H11" s="175" t="str">
        <f>IF(表示案２!$K$60=0,"",(IF(表示案２!$K$60&lt;$G$76/100,IF(OR(H10="少量",H10=" 〃 ")," 〃 ","少量"),DBCS(FIXED(表示案２!$K$60*100,$G$78))&amp;"％")))</f>
        <v/>
      </c>
      <c r="I11" s="165"/>
      <c r="J11" s="171" t="str">
        <f>IF(OR(表示案３!$K$7="",表示案３!$K$7="-",表示案３!$K$7="*"),"",表示案３!$K$7)</f>
        <v/>
      </c>
      <c r="K11" s="174"/>
      <c r="L11" s="173" t="str">
        <f>IF(表示案３!$K$60=0,"",(IF(表示案３!$K$60&lt;$K$76/100,IF(OR(L10="少量",L10=" 〃 ")," 〃 ","少量"),DBCS(FIXED(表示案３!$K$60*100,$K$78))&amp;"％")))</f>
        <v/>
      </c>
      <c r="M11" s="165"/>
      <c r="N11" s="171" t="str">
        <f>IF(OR(表示案４!$K$7="",表示案４!$K$7="-",表示案４!$K$7="*"),"",表示案４!$K$7)</f>
        <v/>
      </c>
      <c r="O11" s="174"/>
      <c r="P11" s="173" t="str">
        <f>IF(表示案４!$K$60=0,"",(IF(表示案４!$K$60&lt;$O$76/100,IF(OR(P10="少量",P10=" 〃 ")," 〃 ","少量"),DBCS(FIXED(表示案４!$K$60*100,$O$78))&amp;"％")))</f>
        <v/>
      </c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</row>
    <row r="12" spans="1:33" x14ac:dyDescent="0.15">
      <c r="A12" s="165"/>
      <c r="B12" s="171" t="str">
        <f>IF(OR(表示案１!$L$7="",表示案１!$L$7="-",表示案１!$L$7="*"),"",表示案１!$L$7)</f>
        <v/>
      </c>
      <c r="C12" s="174"/>
      <c r="D12" s="175" t="str">
        <f>IF(表示案１!$L$60=0,"",(IF(表示案１!$L$60&lt;$C$76/100,IF(OR(D11="少量",D11=" 〃 ")," 〃 ","少量"),DBCS(FIXED(表示案１!$L$60*100,$C$78))&amp;"％")))</f>
        <v/>
      </c>
      <c r="E12" s="165"/>
      <c r="F12" s="171" t="str">
        <f>IF(OR(表示案２!$L$7="",表示案２!$L$7="-",表示案２!$L$7="*"),"",表示案２!$L$7)</f>
        <v/>
      </c>
      <c r="G12" s="174"/>
      <c r="H12" s="175" t="str">
        <f>IF(表示案２!$L$60=0,"",(IF(表示案２!$L$60&lt;$G$76/100,IF(OR(H11="少量",H11=" 〃 ")," 〃 ","少量"),DBCS(FIXED(表示案２!$L$60*100,$G$78))&amp;"％")))</f>
        <v/>
      </c>
      <c r="I12" s="165"/>
      <c r="J12" s="171" t="str">
        <f>IF(OR(表示案３!$L$7="",表示案３!$L$7="-",表示案３!$L$7="*"),"",表示案３!$L$7)</f>
        <v/>
      </c>
      <c r="K12" s="174"/>
      <c r="L12" s="173" t="str">
        <f>IF(表示案３!$L$60=0,"",(IF(表示案３!$L$60&lt;$K$76/100,IF(OR(L11="少量",L11=" 〃 ")," 〃 ","少量"),DBCS(FIXED(表示案３!$L$60*100,$K$78))&amp;"％")))</f>
        <v/>
      </c>
      <c r="M12" s="165"/>
      <c r="N12" s="171" t="str">
        <f>IF(OR(表示案４!$L$7="",表示案４!$L$7="-",表示案４!$L$7="*"),"",表示案４!$L$7)</f>
        <v/>
      </c>
      <c r="O12" s="174"/>
      <c r="P12" s="173" t="str">
        <f>IF(表示案４!$L$60=0,"",(IF(表示案４!$L$60&lt;$O$76/100,IF(OR(P11="少量",P11=" 〃 ")," 〃 ","少量"),DBCS(FIXED(表示案４!$L$60*100,$O$78))&amp;"％")))</f>
        <v/>
      </c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</row>
    <row r="13" spans="1:33" x14ac:dyDescent="0.15">
      <c r="A13" s="165"/>
      <c r="B13" s="171" t="str">
        <f>IF(OR(表示案１!$M$7="",表示案１!$M$7="-",表示案１!$M$7="*"),"",表示案１!$M$7)</f>
        <v/>
      </c>
      <c r="C13" s="174"/>
      <c r="D13" s="175" t="str">
        <f>IF(表示案１!$M$60=0,"",(IF(表示案１!$M$60&lt;$C$76/100,IF(OR(D12="少量",D12=" 〃 ")," 〃 ","少量"),DBCS(FIXED(表示案１!$M$60*100,$C$78))&amp;"％")))</f>
        <v/>
      </c>
      <c r="E13" s="165"/>
      <c r="F13" s="171" t="str">
        <f>IF(OR(表示案２!$M$7="",表示案２!$M$7="-",表示案２!$M$7="*"),"",表示案２!$M$7)</f>
        <v/>
      </c>
      <c r="G13" s="174"/>
      <c r="H13" s="175" t="str">
        <f>IF(表示案２!$M$60=0,"",(IF(表示案２!$M$60&lt;$G$76/100,IF(OR(H12="少量",H12=" 〃 ")," 〃 ","少量"),DBCS(FIXED(表示案２!$M$60*100,$G$78))&amp;"％")))</f>
        <v/>
      </c>
      <c r="I13" s="165"/>
      <c r="J13" s="171" t="str">
        <f>IF(OR(表示案３!$M$7="",表示案３!$M$7="-",表示案３!$M$7="*"),"",表示案３!$M$7)</f>
        <v/>
      </c>
      <c r="K13" s="174"/>
      <c r="L13" s="173" t="str">
        <f>IF(表示案３!$M$60=0,"",(IF(表示案３!$M$60&lt;$K$76/100,IF(OR(L12="少量",L12=" 〃 ")," 〃 ","少量"),DBCS(FIXED(表示案３!$M$60*100,$K$78))&amp;"％")))</f>
        <v/>
      </c>
      <c r="M13" s="165"/>
      <c r="N13" s="171" t="str">
        <f>IF(OR(表示案４!$M$7="",表示案４!$M$7="-",表示案４!$M$7="*"),"",表示案４!$M$7)</f>
        <v/>
      </c>
      <c r="O13" s="174"/>
      <c r="P13" s="173" t="str">
        <f>IF(表示案４!$M$60=0,"",(IF(表示案４!$M$60&lt;$O$76/100,IF(OR(P12="少量",P12=" 〃 ")," 〃 ","少量"),DBCS(FIXED(表示案４!$M$60*100,$O$78))&amp;"％")))</f>
        <v/>
      </c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</row>
    <row r="14" spans="1:33" x14ac:dyDescent="0.15">
      <c r="A14" s="165"/>
      <c r="B14" s="171" t="str">
        <f>IF(OR(表示案１!$N$7="",表示案１!$N$7="-",表示案１!$N$7="*"),"",表示案１!$N$7)</f>
        <v/>
      </c>
      <c r="C14" s="174"/>
      <c r="D14" s="175" t="str">
        <f>IF(表示案１!$N$60=0,"",(IF(表示案１!$N$60&lt;$C$76/100,IF(OR(D13="少量",D13=" 〃 ")," 〃 ","少量"),DBCS(FIXED(表示案１!$N$60*100,$C$78))&amp;"％")))</f>
        <v/>
      </c>
      <c r="E14" s="165"/>
      <c r="F14" s="171" t="str">
        <f>IF(OR(表示案２!$N$7="",表示案２!$N$7="-",表示案２!$N$7="*"),"",表示案２!$N$7)</f>
        <v/>
      </c>
      <c r="G14" s="174"/>
      <c r="H14" s="175" t="str">
        <f>IF(表示案２!$N$60=0,"",(IF(表示案２!$N$60&lt;$G$76/100,IF(OR(H13="少量",H13=" 〃 ")," 〃 ","少量"),DBCS(FIXED(表示案２!$N$60*100,$G$78))&amp;"％")))</f>
        <v/>
      </c>
      <c r="I14" s="165"/>
      <c r="J14" s="171" t="str">
        <f>IF(OR(表示案３!$N$7="",表示案３!$N$7="-",表示案３!$N$7="*"),"",表示案３!$N$7)</f>
        <v/>
      </c>
      <c r="K14" s="174"/>
      <c r="L14" s="173" t="str">
        <f>IF(表示案３!$N$60=0,"",(IF(表示案３!$N$60&lt;$K$76/100,IF(OR(L13="少量",L13=" 〃 ")," 〃 ","少量"),DBCS(FIXED(表示案３!$N$60*100,$K$78))&amp;"％")))</f>
        <v/>
      </c>
      <c r="M14" s="165"/>
      <c r="N14" s="171" t="str">
        <f>IF(OR(表示案４!$N$7="",表示案４!$N$7="-",表示案４!$N$7="*"),"",表示案４!$N$7)</f>
        <v/>
      </c>
      <c r="O14" s="174"/>
      <c r="P14" s="173" t="str">
        <f>IF(表示案４!$N$60=0,"",(IF(表示案４!$N$60&lt;$O$76/100,IF(OR(P13="少量",P13=" 〃 ")," 〃 ","少量"),DBCS(FIXED(表示案４!$N$60*100,$O$78))&amp;"％")))</f>
        <v/>
      </c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</row>
    <row r="15" spans="1:33" x14ac:dyDescent="0.15">
      <c r="A15" s="165"/>
      <c r="B15" s="171" t="str">
        <f>IF(OR(表示案１!$O$7="",表示案１!$O$7="-",表示案１!$O$7="*"),"",表示案１!$O$7)</f>
        <v/>
      </c>
      <c r="C15" s="174"/>
      <c r="D15" s="175" t="str">
        <f>IF(表示案１!$O$60=0,"",(IF(表示案１!$O$60&lt;$C$76/100,IF(OR(D14="少量",D14=" 〃 ")," 〃 ","少量"),DBCS(FIXED(表示案１!$O$60*100,$C$78))&amp;"％")))</f>
        <v/>
      </c>
      <c r="E15" s="165"/>
      <c r="F15" s="171" t="str">
        <f>IF(OR(表示案２!$O$7="",表示案２!$O$7="-",表示案２!$O$7="*"),"",表示案２!$O$7)</f>
        <v/>
      </c>
      <c r="G15" s="174"/>
      <c r="H15" s="175" t="str">
        <f>IF(表示案２!$O$60=0,"",(IF(表示案２!$O$60&lt;$G$76/100,IF(OR(H14="少量",H14=" 〃 ")," 〃 ","少量"),DBCS(FIXED(表示案２!$O$60*100,$G$78))&amp;"％")))</f>
        <v/>
      </c>
      <c r="I15" s="165"/>
      <c r="J15" s="171" t="str">
        <f>IF(OR(表示案３!$O$7="",表示案３!$O$7="-",表示案３!$O$7="*"),"",表示案３!$O$7)</f>
        <v/>
      </c>
      <c r="K15" s="174"/>
      <c r="L15" s="173" t="str">
        <f>IF(表示案３!$O$60=0,"",(IF(表示案３!$O$60&lt;$K$76/100,IF(OR(L14="少量",L14=" 〃 ")," 〃 ","少量"),DBCS(FIXED(表示案３!$O$60*100,$K$78))&amp;"％")))</f>
        <v/>
      </c>
      <c r="M15" s="165"/>
      <c r="N15" s="171" t="str">
        <f>IF(OR(表示案４!$O$7="",表示案４!$O$7="-",表示案４!$O$7="*"),"",表示案４!$O$7)</f>
        <v/>
      </c>
      <c r="O15" s="174"/>
      <c r="P15" s="173" t="str">
        <f>IF(表示案４!$O$60=0,"",(IF(表示案４!$O$60&lt;$O$76/100,IF(OR(P14="少量",P14=" 〃 ")," 〃 ","少量"),DBCS(FIXED(表示案４!$O$60*100,$O$78))&amp;"％")))</f>
        <v/>
      </c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</row>
    <row r="16" spans="1:33" x14ac:dyDescent="0.15">
      <c r="A16" s="165"/>
      <c r="B16" s="171" t="str">
        <f>IF(OR(表示案１!$P$7="",表示案１!$P$7="-",表示案１!$P$7="*"),"",表示案１!$P$7)</f>
        <v/>
      </c>
      <c r="C16" s="174"/>
      <c r="D16" s="175" t="str">
        <f>IF(表示案１!$P$60=0,"",(IF(表示案１!$P$60&lt;$C$76/100,IF(OR(D15="少量",D15=" 〃 ")," 〃 ","少量"),DBCS(FIXED(表示案１!$P$60*100,$C$78))&amp;"％")))</f>
        <v/>
      </c>
      <c r="E16" s="165"/>
      <c r="F16" s="171" t="str">
        <f>IF(OR(表示案２!$P$7="",表示案２!$P$7="-",表示案２!$P$7="*"),"",表示案２!$P$7)</f>
        <v/>
      </c>
      <c r="G16" s="174"/>
      <c r="H16" s="175" t="str">
        <f>IF(表示案２!$P$60=0,"",(IF(表示案２!$P$60&lt;$G$76/100,IF(OR(H15="少量",H15=" 〃 ")," 〃 ","少量"),DBCS(FIXED(表示案２!$P$60*100,$G$78))&amp;"％")))</f>
        <v/>
      </c>
      <c r="I16" s="165"/>
      <c r="J16" s="171" t="str">
        <f>IF(OR(表示案３!$P$7="",表示案３!$P$7="-",表示案３!$P$7="*"),"",表示案３!$P$7)</f>
        <v/>
      </c>
      <c r="K16" s="174"/>
      <c r="L16" s="173" t="str">
        <f>IF(表示案３!$P$60=0,"",(IF(表示案３!$P$60&lt;$K$76/100,IF(OR(L15="少量",L15=" 〃 ")," 〃 ","少量"),DBCS(FIXED(表示案３!$P$60*100,$K$78))&amp;"％")))</f>
        <v/>
      </c>
      <c r="M16" s="165"/>
      <c r="N16" s="171" t="str">
        <f>IF(OR(表示案４!$P$7="",表示案４!$P$7="-",表示案４!$P$7="*"),"",表示案４!$P$7)</f>
        <v/>
      </c>
      <c r="O16" s="174"/>
      <c r="P16" s="173" t="str">
        <f>IF(表示案４!$P$60=0,"",(IF(表示案４!$P$60&lt;$O$76/100,IF(OR(P15="少量",P15=" 〃 ")," 〃 ","少量"),DBCS(FIXED(表示案４!$P$60*100,$O$78))&amp;"％")))</f>
        <v/>
      </c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</row>
    <row r="17" spans="1:33" x14ac:dyDescent="0.15">
      <c r="A17" s="165"/>
      <c r="B17" s="171" t="str">
        <f>IF(OR(表示案１!$Q$7="",表示案１!$Q$7="-",表示案１!$Q$7="*"),"",表示案１!$Q$7)</f>
        <v/>
      </c>
      <c r="C17" s="174"/>
      <c r="D17" s="175" t="str">
        <f>IF(表示案１!$Q$60=0,"",(IF(表示案１!$Q$60&lt;$C$76/100,IF(OR(D16="少量",D16=" 〃 ")," 〃 ","少量"),DBCS(FIXED(表示案１!$Q$60*100,$C$78))&amp;"％")))</f>
        <v/>
      </c>
      <c r="E17" s="165"/>
      <c r="F17" s="171" t="str">
        <f>IF(OR(表示案２!$Q$7="",表示案２!$Q$7="-",表示案２!$Q$7="*"),"",表示案２!$Q$7)</f>
        <v/>
      </c>
      <c r="G17" s="174"/>
      <c r="H17" s="175" t="str">
        <f>IF(表示案２!$Q$60=0,"",(IF(表示案２!$Q$60&lt;$G$76/100,IF(OR(H16="少量",H16=" 〃 ")," 〃 ","少量"),DBCS(FIXED(表示案２!$Q$60*100,$G$78))&amp;"％")))</f>
        <v/>
      </c>
      <c r="I17" s="165"/>
      <c r="J17" s="171" t="str">
        <f>IF(OR(表示案３!$Q$7="",表示案３!$Q$7="-",表示案３!$Q$7="*"),"",表示案３!$Q$7)</f>
        <v/>
      </c>
      <c r="K17" s="174"/>
      <c r="L17" s="173" t="str">
        <f>IF(表示案３!$Q$60=0,"",(IF(表示案３!$Q$60&lt;$K$76/100,IF(OR(L16="少量",L16=" 〃 ")," 〃 ","少量"),DBCS(FIXED(表示案３!$Q$60*100,$K$78))&amp;"％")))</f>
        <v/>
      </c>
      <c r="M17" s="165"/>
      <c r="N17" s="171" t="str">
        <f>IF(OR(表示案４!$Q$7="",表示案４!$Q$7="-",表示案４!$Q$7="*"),"",表示案４!$Q$7)</f>
        <v/>
      </c>
      <c r="O17" s="174"/>
      <c r="P17" s="173" t="str">
        <f>IF(表示案４!$Q$60=0,"",(IF(表示案４!$Q$60&lt;$O$76/100,IF(OR(P16="少量",P16=" 〃 ")," 〃 ","少量"),DBCS(FIXED(表示案４!$Q$60*100,$O$78))&amp;"％")))</f>
        <v/>
      </c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</row>
    <row r="18" spans="1:33" x14ac:dyDescent="0.15">
      <c r="A18" s="165"/>
      <c r="B18" s="171" t="str">
        <f>IF(OR(表示案１!$R$7="",表示案１!$R$7="-",表示案１!$R$7="*"),"",表示案１!$R$7)</f>
        <v/>
      </c>
      <c r="C18" s="174"/>
      <c r="D18" s="175" t="str">
        <f>IF(表示案１!$R$60=0,"",(IF(表示案１!$R$60&lt;$C$76/100,IF(OR(D17="少量",D17=" 〃 ")," 〃 ","少量"),DBCS(FIXED(表示案１!$R$60*100,$C$78))&amp;"％")))</f>
        <v/>
      </c>
      <c r="E18" s="165"/>
      <c r="F18" s="171" t="str">
        <f>IF(OR(表示案２!$R$7="",表示案２!$R$7="-",表示案２!$R$7="*"),"",表示案２!$R$7)</f>
        <v/>
      </c>
      <c r="G18" s="174"/>
      <c r="H18" s="175" t="str">
        <f>IF(表示案２!$R$60=0,"",(IF(表示案２!$R$60&lt;$G$76/100,IF(OR(H17="少量",H17=" 〃 ")," 〃 ","少量"),DBCS(FIXED(表示案２!$R$60*100,$G$78))&amp;"％")))</f>
        <v/>
      </c>
      <c r="I18" s="165"/>
      <c r="J18" s="171" t="str">
        <f>IF(OR(表示案３!$R$7="",表示案３!$R$7="-",表示案３!$R$7="*"),"",表示案３!$R$7)</f>
        <v/>
      </c>
      <c r="K18" s="174"/>
      <c r="L18" s="173" t="str">
        <f>IF(表示案３!$R$60=0,"",(IF(表示案３!$R$60&lt;$K$76/100,IF(OR(L17="少量",L17=" 〃 ")," 〃 ","少量"),DBCS(FIXED(表示案３!$R$60*100,$K$78))&amp;"％")))</f>
        <v/>
      </c>
      <c r="M18" s="165"/>
      <c r="N18" s="171" t="str">
        <f>IF(OR(表示案４!$R$7="",表示案４!$R$7="-",表示案４!$R$7="*"),"",表示案４!$R$7)</f>
        <v/>
      </c>
      <c r="O18" s="174"/>
      <c r="P18" s="173" t="str">
        <f>IF(表示案４!$R$60=0,"",(IF(表示案４!$R$60&lt;$O$76/100,IF(OR(P17="少量",P17=" 〃 ")," 〃 ","少量"),DBCS(FIXED(表示案４!$R$60*100,$O$78))&amp;"％")))</f>
        <v/>
      </c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</row>
    <row r="19" spans="1:33" x14ac:dyDescent="0.15">
      <c r="A19" s="165"/>
      <c r="B19" s="171" t="str">
        <f>IF(OR(表示案１!$S$7="",表示案１!$S$7="-",表示案１!$S$7="*"),"",表示案１!$S$7)</f>
        <v/>
      </c>
      <c r="C19" s="174"/>
      <c r="D19" s="175" t="str">
        <f>IF(表示案１!$S$60=0,"",(IF(表示案１!$S$60&lt;$C$76/100,IF(OR(D18="少量",D18=" 〃 ")," 〃 ","少量"),DBCS(FIXED(表示案１!$S$60*100,$C$78))&amp;"％")))</f>
        <v/>
      </c>
      <c r="E19" s="165"/>
      <c r="F19" s="171" t="str">
        <f>IF(OR(表示案２!$S$7="",表示案２!$S$7="-",表示案２!$S$7="*"),"",表示案２!$S$7)</f>
        <v/>
      </c>
      <c r="G19" s="174"/>
      <c r="H19" s="175" t="str">
        <f>IF(表示案２!$S$60=0,"",(IF(表示案２!$S$60&lt;$G$76/100,IF(OR(H18="少量",H18=" 〃 ")," 〃 ","少量"),DBCS(FIXED(表示案２!$S$60*100,$G$78))&amp;"％")))</f>
        <v/>
      </c>
      <c r="I19" s="165"/>
      <c r="J19" s="171" t="str">
        <f>IF(OR(表示案３!$S$7="",表示案３!$S$7="-",表示案３!$S$7="*"),"",表示案３!$S$7)</f>
        <v/>
      </c>
      <c r="K19" s="174"/>
      <c r="L19" s="173" t="str">
        <f>IF(表示案３!$S$60=0,"",(IF(表示案３!$S$60&lt;$K$76/100,IF(OR(L18="少量",L18=" 〃 ")," 〃 ","少量"),DBCS(FIXED(表示案３!$S$60*100,$K$78))&amp;"％")))</f>
        <v/>
      </c>
      <c r="M19" s="165"/>
      <c r="N19" s="171" t="str">
        <f>IF(OR(表示案４!$S$7="",表示案４!$S$7="-",表示案４!$S$7="*"),"",表示案４!$S$7)</f>
        <v/>
      </c>
      <c r="O19" s="174"/>
      <c r="P19" s="173" t="str">
        <f>IF(表示案４!$S$60=0,"",(IF(表示案４!$S$60&lt;$O$76/100,IF(OR(P18="少量",P18=" 〃 ")," 〃 ","少量"),DBCS(FIXED(表示案４!$S$60*100,$O$78))&amp;"％")))</f>
        <v/>
      </c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</row>
    <row r="20" spans="1:33" x14ac:dyDescent="0.15">
      <c r="A20" s="165"/>
      <c r="B20" s="171" t="str">
        <f>IF(OR(表示案１!$T$7="",表示案１!$T$7="-",表示案１!$T$7="*"),"",表示案１!$T$7)</f>
        <v/>
      </c>
      <c r="C20" s="174"/>
      <c r="D20" s="175" t="str">
        <f>IF(表示案１!$T$60=0,"",(IF(表示案１!$T$60&lt;$C$76/100,IF(OR(D19="少量",D19=" 〃 ")," 〃 ","少量"),DBCS(FIXED(表示案１!$T$60*100,$C$78))&amp;"％")))</f>
        <v/>
      </c>
      <c r="E20" s="165"/>
      <c r="F20" s="171" t="str">
        <f>IF(OR(表示案２!$T$7="",表示案２!$T$7="-",表示案２!$T$7="*"),"",表示案２!$T$7)</f>
        <v/>
      </c>
      <c r="G20" s="174"/>
      <c r="H20" s="175" t="str">
        <f>IF(表示案２!$T$60=0,"",(IF(表示案２!$T$60&lt;$G$76/100,IF(OR(H19="少量",H19=" 〃 ")," 〃 ","少量"),DBCS(FIXED(表示案２!$T$60*100,$G$78))&amp;"％")))</f>
        <v/>
      </c>
      <c r="I20" s="165"/>
      <c r="J20" s="171" t="str">
        <f>IF(OR(表示案３!$T$7="",表示案３!$T$7="-",表示案３!$T$7="*"),"",表示案３!$T$7)</f>
        <v/>
      </c>
      <c r="K20" s="174"/>
      <c r="L20" s="173" t="str">
        <f>IF(表示案３!$T$60=0,"",(IF(表示案３!$T$60&lt;$K$76/100,IF(OR(L19="少量",L19=" 〃 ")," 〃 ","少量"),DBCS(FIXED(表示案３!$T$60*100,$K$78))&amp;"％")))</f>
        <v/>
      </c>
      <c r="M20" s="165"/>
      <c r="N20" s="171" t="str">
        <f>IF(OR(表示案４!$T$7="",表示案４!$T$7="-",表示案４!$T$7="*"),"",表示案４!$T$7)</f>
        <v/>
      </c>
      <c r="O20" s="174"/>
      <c r="P20" s="173" t="str">
        <f>IF(表示案４!$T$60=0,"",(IF(表示案４!$T$60&lt;$O$76/100,IF(OR(P19="少量",P19=" 〃 ")," 〃 ","少量"),DBCS(FIXED(表示案４!$T$60*100,$O$78))&amp;"％")))</f>
        <v/>
      </c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</row>
    <row r="21" spans="1:33" x14ac:dyDescent="0.15">
      <c r="A21" s="165"/>
      <c r="B21" s="171" t="str">
        <f>IF(OR(表示案１!$U$7="",表示案１!$U$7="-",表示案１!$U$7="*"),"",表示案１!$U$7)</f>
        <v/>
      </c>
      <c r="C21" s="174"/>
      <c r="D21" s="175" t="str">
        <f>IF(表示案１!$U$60=0,"",(IF(表示案１!$U$60&lt;$C$76/100,IF(OR(D20="少量",D20=" 〃 ")," 〃 ","少量"),DBCS(FIXED(表示案１!$U$60*100,$C$78))&amp;"％")))</f>
        <v/>
      </c>
      <c r="E21" s="165"/>
      <c r="F21" s="171" t="str">
        <f>IF(OR(表示案２!$U$7="",表示案２!$U$7="-",表示案２!$U$7="*"),"",表示案２!$U$7)</f>
        <v/>
      </c>
      <c r="G21" s="174"/>
      <c r="H21" s="175" t="str">
        <f>IF(表示案２!$U$60=0,"",(IF(表示案２!$U$60&lt;$G$76/100,IF(OR(H20="少量",H20=" 〃 ")," 〃 ","少量"),DBCS(FIXED(表示案２!$U$60*100,$G$78))&amp;"％")))</f>
        <v/>
      </c>
      <c r="I21" s="165"/>
      <c r="J21" s="171" t="str">
        <f>IF(OR(表示案３!$U$7="",表示案３!$U$7="-",表示案３!$U$7="*"),"",表示案３!$U$7)</f>
        <v/>
      </c>
      <c r="K21" s="174"/>
      <c r="L21" s="173" t="str">
        <f>IF(表示案３!$U$60=0,"",(IF(表示案３!$U$60&lt;$K$76/100,IF(OR(L20="少量",L20=" 〃 ")," 〃 ","少量"),DBCS(FIXED(表示案３!$U$60*100,$K$78))&amp;"％")))</f>
        <v/>
      </c>
      <c r="M21" s="165"/>
      <c r="N21" s="171" t="str">
        <f>IF(OR(表示案４!$U$7="",表示案４!$U$7="-",表示案４!$U$7="*"),"",表示案４!$U$7)</f>
        <v/>
      </c>
      <c r="O21" s="174"/>
      <c r="P21" s="173" t="str">
        <f>IF(表示案４!$U$60=0,"",(IF(表示案４!$U$60&lt;$O$76/100,IF(OR(P20="少量",P20=" 〃 ")," 〃 ","少量"),DBCS(FIXED(表示案４!$U$60*100,$O$78))&amp;"％")))</f>
        <v/>
      </c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</row>
    <row r="22" spans="1:33" x14ac:dyDescent="0.15">
      <c r="A22" s="165"/>
      <c r="B22" s="171" t="str">
        <f>IF(OR(表示案１!$V$7="",表示案１!$V$7="-",表示案１!$V$7="*"),"",表示案１!$V$7)</f>
        <v/>
      </c>
      <c r="C22" s="174"/>
      <c r="D22" s="175" t="str">
        <f>IF(表示案１!$V$60=0,"",(IF(表示案１!$V$60&lt;$C$76/100,IF(OR(D21="少量",D21=" 〃 ")," 〃 ","少量"),DBCS(FIXED(表示案１!$V$60*100,$C$78))&amp;"％")))</f>
        <v/>
      </c>
      <c r="E22" s="165"/>
      <c r="F22" s="171" t="str">
        <f>IF(OR(表示案２!$V$7="",表示案２!$V$7="-",表示案２!$V$7="*"),"",表示案２!$V$7)</f>
        <v/>
      </c>
      <c r="G22" s="174"/>
      <c r="H22" s="175" t="str">
        <f>IF(表示案２!$V$60=0,"",(IF(表示案２!$V$60&lt;$G$76/100,IF(OR(H21="少量",H21=" 〃 ")," 〃 ","少量"),DBCS(FIXED(表示案２!$V$60*100,$G$78))&amp;"％")))</f>
        <v/>
      </c>
      <c r="I22" s="165"/>
      <c r="J22" s="171" t="str">
        <f>IF(OR(表示案３!$V$7="",表示案３!$V$7="-",表示案３!$V$7="*"),"",表示案３!$V$7)</f>
        <v/>
      </c>
      <c r="K22" s="174"/>
      <c r="L22" s="173" t="str">
        <f>IF(表示案３!$V$60=0,"",(IF(表示案３!$V$60&lt;$K$76/100,IF(OR(L21="少量",L21=" 〃 ")," 〃 ","少量"),DBCS(FIXED(表示案３!$V$60*100,$K$78))&amp;"％")))</f>
        <v/>
      </c>
      <c r="M22" s="165"/>
      <c r="N22" s="171" t="str">
        <f>IF(OR(表示案４!$V$7="",表示案４!$V$7="-",表示案４!$V$7="*"),"",表示案４!$V$7)</f>
        <v/>
      </c>
      <c r="O22" s="174"/>
      <c r="P22" s="173" t="str">
        <f>IF(表示案４!$V$60=0,"",(IF(表示案４!$V$60&lt;$O$76/100,IF(OR(P21="少量",P21=" 〃 ")," 〃 ","少量"),DBCS(FIXED(表示案４!$V$60*100,$O$78))&amp;"％")))</f>
        <v/>
      </c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</row>
    <row r="23" spans="1:33" x14ac:dyDescent="0.15">
      <c r="A23" s="165"/>
      <c r="B23" s="171" t="str">
        <f>IF(OR(表示案１!$W$7="",表示案１!$W$7="-",表示案１!$W$7="*"),"",表示案１!$W$7)</f>
        <v/>
      </c>
      <c r="C23" s="174"/>
      <c r="D23" s="175" t="str">
        <f>IF(表示案１!$W$60=0,"",(IF(表示案１!$W$60&lt;$C$76/100,IF(OR(D22="少量",D22=" 〃 ")," 〃 ","少量"),DBCS(FIXED(表示案１!$W$60*100,$C$78))&amp;"％")))</f>
        <v/>
      </c>
      <c r="E23" s="165"/>
      <c r="F23" s="171" t="str">
        <f>IF(OR(表示案２!$W$7="",表示案２!$W$7="-",表示案２!$W$7="*"),"",表示案２!$W$7)</f>
        <v/>
      </c>
      <c r="G23" s="174"/>
      <c r="H23" s="175" t="str">
        <f>IF(表示案２!$W$60=0,"",(IF(表示案２!$W$60&lt;$G$76/100,IF(OR(H22="少量",H22=" 〃 ")," 〃 ","少量"),DBCS(FIXED(表示案２!$W$60*100,$G$78))&amp;"％")))</f>
        <v/>
      </c>
      <c r="I23" s="165"/>
      <c r="J23" s="171" t="str">
        <f>IF(OR(表示案３!$W$7="",表示案３!$W$7="-",表示案３!$W$7="*"),"",表示案３!$W$7)</f>
        <v/>
      </c>
      <c r="K23" s="174"/>
      <c r="L23" s="173" t="str">
        <f>IF(表示案３!$W$60=0,"",(IF(表示案３!$W$60&lt;$K$76/100,IF(OR(L22="少量",L22=" 〃 ")," 〃 ","少量"),DBCS(FIXED(表示案３!$W$60*100,$K$78))&amp;"％")))</f>
        <v/>
      </c>
      <c r="M23" s="165"/>
      <c r="N23" s="171" t="str">
        <f>IF(OR(表示案４!$W$7="",表示案４!$W$7="-",表示案４!$W$7="*"),"",表示案４!$W$7)</f>
        <v/>
      </c>
      <c r="O23" s="174"/>
      <c r="P23" s="173" t="str">
        <f>IF(表示案４!$W$60=0,"",(IF(表示案４!$W$60&lt;$O$76/100,IF(OR(P22="少量",P22=" 〃 ")," 〃 ","少量"),DBCS(FIXED(表示案４!$W$60*100,$O$78))&amp;"％")))</f>
        <v/>
      </c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</row>
    <row r="24" spans="1:33" x14ac:dyDescent="0.15">
      <c r="A24" s="165"/>
      <c r="B24" s="171" t="str">
        <f>IF(OR(表示案１!$X$7="",表示案１!$X$7="-",表示案１!$X$7="*"),"",表示案１!$X$7)</f>
        <v/>
      </c>
      <c r="C24" s="174"/>
      <c r="D24" s="175" t="str">
        <f>IF(表示案１!$X$60=0,"",(IF(表示案１!$X$60&lt;$C$76/100,IF(OR(D23="少量",D23=" 〃 ")," 〃 ","少量"),DBCS(FIXED(表示案１!$X$60*100,$C$78))&amp;"％")))</f>
        <v/>
      </c>
      <c r="E24" s="165"/>
      <c r="F24" s="171" t="str">
        <f>IF(OR(表示案２!$X$7="",表示案２!$X$7="-",表示案２!$X$7="*"),"",表示案２!$X$7)</f>
        <v/>
      </c>
      <c r="G24" s="174"/>
      <c r="H24" s="175" t="str">
        <f>IF(表示案２!$X$60=0,"",(IF(表示案２!$X$60&lt;$G$76/100,IF(OR(H23="少量",H23=" 〃 ")," 〃 ","少量"),DBCS(FIXED(表示案２!$X$60*100,$G$78))&amp;"％")))</f>
        <v/>
      </c>
      <c r="I24" s="165"/>
      <c r="J24" s="171" t="str">
        <f>IF(OR(表示案３!$X$7="",表示案３!$X$7="-",表示案３!$X$7="*"),"",表示案３!$X$7)</f>
        <v/>
      </c>
      <c r="K24" s="174"/>
      <c r="L24" s="173" t="str">
        <f>IF(表示案３!$X$60=0,"",(IF(表示案３!$X$60&lt;$K$76/100,IF(OR(L23="少量",L23=" 〃 ")," 〃 ","少量"),DBCS(FIXED(表示案３!$X$60*100,$K$78))&amp;"％")))</f>
        <v/>
      </c>
      <c r="M24" s="165"/>
      <c r="N24" s="171" t="str">
        <f>IF(OR(表示案４!$X$7="",表示案４!$X$7="-",表示案４!$X$7="*"),"",表示案４!$X$7)</f>
        <v/>
      </c>
      <c r="O24" s="174"/>
      <c r="P24" s="173" t="str">
        <f>IF(表示案４!$X$60=0,"",(IF(表示案４!$X$60&lt;$O$76/100,IF(OR(P23="少量",P23=" 〃 ")," 〃 ","少量"),DBCS(FIXED(表示案４!$X$60*100,$O$78))&amp;"％")))</f>
        <v/>
      </c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</row>
    <row r="25" spans="1:33" x14ac:dyDescent="0.15">
      <c r="A25" s="165"/>
      <c r="B25" s="171" t="str">
        <f>IF(OR(表示案１!$Y$7="",表示案１!$Y$7="-",表示案１!$Y$7="*"),"",表示案１!$Y$7)</f>
        <v/>
      </c>
      <c r="C25" s="174"/>
      <c r="D25" s="175" t="str">
        <f>IF(表示案１!$Y$60=0,"",(IF(表示案１!$Y$60&lt;$C$76/100,IF(OR(D24="少量",D24=" 〃 ")," 〃 ","少量"),DBCS(FIXED(表示案１!$Y$60*100,$C$78))&amp;"％")))</f>
        <v/>
      </c>
      <c r="E25" s="165"/>
      <c r="F25" s="171" t="str">
        <f>IF(OR(表示案２!$Y$7="",表示案２!$Y$7="-",表示案２!$Y$7="*"),"",表示案２!$Y$7)</f>
        <v/>
      </c>
      <c r="G25" s="174"/>
      <c r="H25" s="175" t="str">
        <f>IF(表示案２!$Y$60=0,"",(IF(表示案２!$Y$60&lt;$G$76/100,IF(OR(H24="少量",H24=" 〃 ")," 〃 ","少量"),DBCS(FIXED(表示案２!$Y$60*100,$G$78))&amp;"％")))</f>
        <v/>
      </c>
      <c r="I25" s="165"/>
      <c r="J25" s="171" t="str">
        <f>IF(OR(表示案３!$Y$7="",表示案３!$Y$7="-",表示案３!$Y$7="*"),"",表示案３!$Y$7)</f>
        <v/>
      </c>
      <c r="K25" s="174"/>
      <c r="L25" s="173" t="str">
        <f>IF(表示案３!$Y$60=0,"",(IF(表示案３!$Y$60&lt;$K$76/100,IF(OR(L24="少量",L24=" 〃 ")," 〃 ","少量"),DBCS(FIXED(表示案３!$Y$60*100,$K$78))&amp;"％")))</f>
        <v/>
      </c>
      <c r="M25" s="165"/>
      <c r="N25" s="171" t="str">
        <f>IF(OR(表示案４!$Y$7="",表示案４!$Y$7="-",表示案４!$Y$7="*"),"",表示案４!$Y$7)</f>
        <v/>
      </c>
      <c r="O25" s="174"/>
      <c r="P25" s="173" t="str">
        <f>IF(表示案４!$Y$60=0,"",(IF(表示案４!$Y$60&lt;$O$76/100,IF(OR(P24="少量",P24=" 〃 ")," 〃 ","少量"),DBCS(FIXED(表示案４!$Y$60*100,$O$78))&amp;"％")))</f>
        <v/>
      </c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</row>
    <row r="26" spans="1:33" x14ac:dyDescent="0.15">
      <c r="A26" s="165"/>
      <c r="B26" s="171" t="str">
        <f>IF(OR(表示案１!$Z$7="",表示案１!$Z$7="-",表示案１!$Z$7="*"),"",表示案１!$Z$7)</f>
        <v/>
      </c>
      <c r="C26" s="174"/>
      <c r="D26" s="175" t="str">
        <f>IF(表示案１!$Z$60=0,"",(IF(表示案１!$Z$60&lt;$C$76/100,IF(OR(D25="少量",D25=" 〃 ")," 〃 ","少量"),DBCS(FIXED(表示案１!$Z$60*100,$C$78))&amp;"％")))</f>
        <v/>
      </c>
      <c r="E26" s="165"/>
      <c r="F26" s="171" t="str">
        <f>IF(OR(表示案２!$Z$7="",表示案２!$Z$7="-",表示案２!$Z$7="*"),"",表示案２!$Z$7)</f>
        <v/>
      </c>
      <c r="G26" s="174"/>
      <c r="H26" s="175" t="str">
        <f>IF(表示案２!$Z$60=0,"",(IF(表示案２!$Z$60&lt;$G$76/100,IF(OR(H25="少量",H25=" 〃 ")," 〃 ","少量"),DBCS(FIXED(表示案２!$Z$60*100,$G$78))&amp;"％")))</f>
        <v/>
      </c>
      <c r="I26" s="165"/>
      <c r="J26" s="171" t="str">
        <f>IF(OR(表示案３!$Z$7="",表示案３!$Z$7="-",表示案３!$Z$7="*"),"",表示案３!$Z$7)</f>
        <v/>
      </c>
      <c r="K26" s="174"/>
      <c r="L26" s="173" t="str">
        <f>IF(表示案３!$Z$60=0,"",(IF(表示案３!$Z$60&lt;$K$76/100,IF(OR(L25="少量",L25=" 〃 ")," 〃 ","少量"),DBCS(FIXED(表示案３!$Z$60*100,$K$78))&amp;"％")))</f>
        <v/>
      </c>
      <c r="M26" s="165"/>
      <c r="N26" s="171" t="str">
        <f>IF(OR(表示案４!$Z$7="",表示案４!$Z$7="-",表示案４!$Z$7="*"),"",表示案４!$Z$7)</f>
        <v/>
      </c>
      <c r="O26" s="174"/>
      <c r="P26" s="173" t="str">
        <f>IF(表示案４!$Z$60=0,"",(IF(表示案４!$Z$60&lt;$O$76/100,IF(OR(P25="少量",P25=" 〃 ")," 〃 ","少量"),DBCS(FIXED(表示案４!$Z$60*100,$O$78))&amp;"％")))</f>
        <v/>
      </c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</row>
    <row r="27" spans="1:33" x14ac:dyDescent="0.15">
      <c r="A27" s="165"/>
      <c r="B27" s="171" t="str">
        <f>IF(OR(表示案１!$AA$7="",表示案１!$AA$7="-",表示案１!$AA$7="*"),"",表示案１!$AA$7)</f>
        <v/>
      </c>
      <c r="C27" s="174"/>
      <c r="D27" s="175" t="str">
        <f>IF(表示案１!$AA$60=0,"",(IF(表示案１!$AA$60&lt;$C$76/100,IF(OR(D26="少量",D26=" 〃 ")," 〃 ","少量"),DBCS(FIXED(表示案１!$AA$60*100,$C$78))&amp;"％")))</f>
        <v/>
      </c>
      <c r="E27" s="165"/>
      <c r="F27" s="171" t="str">
        <f>IF(OR(表示案２!$AA$7="",表示案２!$AA$7="-",表示案２!$AA$7="*"),"",表示案２!$AA$7)</f>
        <v/>
      </c>
      <c r="G27" s="174"/>
      <c r="H27" s="175" t="str">
        <f>IF(表示案２!$AA$60=0,"",(IF(表示案２!$AA$60&lt;$G$76/100,IF(OR(H26="少量",H26=" 〃 ")," 〃 ","少量"),DBCS(FIXED(表示案２!$AA$60*100,$G$78))&amp;"％")))</f>
        <v/>
      </c>
      <c r="I27" s="165"/>
      <c r="J27" s="171" t="str">
        <f>IF(OR(表示案３!$AA$7="",表示案３!$AA$7="-",表示案３!$AA$7="*"),"",表示案３!$AA$7)</f>
        <v/>
      </c>
      <c r="K27" s="174"/>
      <c r="L27" s="173" t="str">
        <f>IF(表示案３!$AA$60=0,"",(IF(表示案３!$AA$60&lt;$K$76/100,IF(OR(L26="少量",L26=" 〃 ")," 〃 ","少量"),DBCS(FIXED(表示案３!$AA$60*100,$K$78))&amp;"％")))</f>
        <v/>
      </c>
      <c r="M27" s="165"/>
      <c r="N27" s="171" t="str">
        <f>IF(OR(表示案４!$AA$7="",表示案４!$AA$7="-",表示案４!$AA$7="*"),"",表示案４!$AA$7)</f>
        <v/>
      </c>
      <c r="O27" s="174"/>
      <c r="P27" s="173" t="str">
        <f>IF(表示案４!$AA$60=0,"",(IF(表示案４!$AA$60&lt;$O$76/100,IF(OR(P26="少量",P26=" 〃 ")," 〃 ","少量"),DBCS(FIXED(表示案４!$AA$60*100,$O$78))&amp;"％")))</f>
        <v/>
      </c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</row>
    <row r="28" spans="1:33" x14ac:dyDescent="0.15">
      <c r="A28" s="165"/>
      <c r="B28" s="171" t="str">
        <f>IF(OR(表示案１!$AB$7="",表示案１!$AB$7="-",表示案１!$AB$7="*"),"",表示案１!$AB$7)</f>
        <v/>
      </c>
      <c r="C28" s="174"/>
      <c r="D28" s="175" t="str">
        <f>IF(表示案１!$AB$60=0,"",(IF(表示案１!$AB$60&lt;$C$76/100,IF(OR(D27="少量",D27=" 〃 ")," 〃 ","少量"),DBCS(FIXED(表示案１!$AB$60*100,$C$78))&amp;"％")))</f>
        <v/>
      </c>
      <c r="E28" s="165"/>
      <c r="F28" s="171" t="str">
        <f>IF(OR(表示案２!$AB$7="",表示案２!$AB$7="-",表示案２!$AB$7="*"),"",表示案２!$AB$7)</f>
        <v/>
      </c>
      <c r="G28" s="174"/>
      <c r="H28" s="175" t="str">
        <f>IF(表示案２!$AB$60=0,"",(IF(表示案２!$AB$60&lt;$G$76/100,IF(OR(H27="少量",H27=" 〃 ")," 〃 ","少量"),DBCS(FIXED(表示案２!$AB$60*100,$G$78))&amp;"％")))</f>
        <v/>
      </c>
      <c r="I28" s="165"/>
      <c r="J28" s="171" t="str">
        <f>IF(OR(表示案３!$AB$7="",表示案３!$AB$7="-",表示案３!$AB$7="*"),"",表示案３!$AB$7)</f>
        <v/>
      </c>
      <c r="K28" s="174"/>
      <c r="L28" s="173" t="str">
        <f>IF(表示案３!$AB$60=0,"",(IF(表示案３!$AB$60&lt;$K$76/100,IF(OR(L27="少量",L27=" 〃 ")," 〃 ","少量"),DBCS(FIXED(表示案３!$AB$60*100,$K$78))&amp;"％")))</f>
        <v/>
      </c>
      <c r="M28" s="165"/>
      <c r="N28" s="171" t="str">
        <f>IF(OR(表示案４!$AB$7="",表示案４!$AB$7="-",表示案４!$AB$7="*"),"",表示案４!$AB$7)</f>
        <v/>
      </c>
      <c r="O28" s="174"/>
      <c r="P28" s="173" t="str">
        <f>IF(表示案４!$AB$60=0,"",(IF(表示案４!$AB$60&lt;$O$76/100,IF(OR(P27="少量",P27=" 〃 ")," 〃 ","少量"),DBCS(FIXED(表示案４!$AB$60*100,$O$78))&amp;"％")))</f>
        <v/>
      </c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</row>
    <row r="29" spans="1:33" x14ac:dyDescent="0.15">
      <c r="A29" s="165"/>
      <c r="B29" s="171" t="str">
        <f>IF(OR(表示案１!$AC$7="",表示案１!$AC$7="-",表示案１!$AC$7="*"),"",表示案１!$AC$7)</f>
        <v/>
      </c>
      <c r="C29" s="174"/>
      <c r="D29" s="175" t="str">
        <f>IF(表示案１!$AC$60=0,"",(IF(表示案１!$AC$60&lt;$C$76/100,IF(OR(D28="少量",D28=" 〃 ")," 〃 ","少量"),DBCS(FIXED(表示案１!$AC$60*100,$C$78))&amp;"％")))</f>
        <v/>
      </c>
      <c r="E29" s="165"/>
      <c r="F29" s="171" t="str">
        <f>IF(OR(表示案２!$AC$7="",表示案２!$AC$7="-",表示案２!$AC$7="*"),"",表示案２!$AC$7)</f>
        <v/>
      </c>
      <c r="G29" s="174"/>
      <c r="H29" s="175" t="str">
        <f>IF(表示案２!$AC$60=0,"",(IF(表示案２!$AC$60&lt;$G$76/100,IF(OR(H28="少量",H28=" 〃 ")," 〃 ","少量"),DBCS(FIXED(表示案２!$AC$60*100,$G$78))&amp;"％")))</f>
        <v/>
      </c>
      <c r="I29" s="165"/>
      <c r="J29" s="171" t="str">
        <f>IF(OR(表示案３!$AC$7="",表示案３!$AC$7="-",表示案３!$AC$7="*"),"",表示案３!$AC$7)</f>
        <v/>
      </c>
      <c r="K29" s="174"/>
      <c r="L29" s="173" t="str">
        <f>IF(表示案３!$AC$60=0,"",(IF(表示案３!$AC$60&lt;$K$76/100,IF(OR(L28="少量",L28=" 〃 ")," 〃 ","少量"),DBCS(FIXED(表示案３!$AC$60*100,$K$78))&amp;"％")))</f>
        <v/>
      </c>
      <c r="M29" s="165"/>
      <c r="N29" s="171" t="str">
        <f>IF(OR(表示案４!$AC$7="",表示案４!$AC$7="-",表示案４!$AC$7="*"),"",表示案４!$AC$7)</f>
        <v/>
      </c>
      <c r="O29" s="174"/>
      <c r="P29" s="173" t="str">
        <f>IF(表示案４!$AC$60=0,"",(IF(表示案４!$AC$60&lt;$O$76/100,IF(OR(P28="少量",P28=" 〃 ")," 〃 ","少量"),DBCS(FIXED(表示案４!$AC$60*100,$O$78))&amp;"％")))</f>
        <v/>
      </c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</row>
    <row r="30" spans="1:33" x14ac:dyDescent="0.15">
      <c r="A30" s="165"/>
      <c r="B30" s="171" t="str">
        <f>IF(OR(表示案１!$AD$7="",表示案１!$AD$7="-",表示案１!$AD$7="*"),"",表示案１!$AD$7)</f>
        <v/>
      </c>
      <c r="C30" s="174"/>
      <c r="D30" s="175" t="str">
        <f>IF(表示案１!$AD$60=0,"",(IF(表示案１!$AD$60&lt;$C$76/100,IF(OR(D29="少量",D29=" 〃 ")," 〃 ","少量"),DBCS(FIXED(表示案１!$AD$60*100,$C$78))&amp;"％")))</f>
        <v/>
      </c>
      <c r="E30" s="165"/>
      <c r="F30" s="171" t="str">
        <f>IF(OR(表示案２!$AD$7="",表示案２!$AD$7="-",表示案２!$AD$7="*"),"",表示案２!$AD$7)</f>
        <v/>
      </c>
      <c r="G30" s="174"/>
      <c r="H30" s="175" t="str">
        <f>IF(表示案２!$AD$60=0,"",(IF(表示案２!$AD$60&lt;$G$76/100,IF(OR(H29="少量",H29=" 〃 ")," 〃 ","少量"),DBCS(FIXED(表示案２!$AD$60*100,$G$78))&amp;"％")))</f>
        <v/>
      </c>
      <c r="I30" s="165"/>
      <c r="J30" s="171" t="str">
        <f>IF(OR(表示案３!$AD$7="",表示案３!$AD$7="-",表示案３!$AD$7="*"),"",表示案３!$AD$7)</f>
        <v/>
      </c>
      <c r="K30" s="174"/>
      <c r="L30" s="173" t="str">
        <f>IF(表示案３!$AD$60=0,"",(IF(表示案３!$AD$60&lt;$K$76/100,IF(OR(L29="少量",L29=" 〃 ")," 〃 ","少量"),DBCS(FIXED(表示案３!$AD$60*100,$K$78))&amp;"％")))</f>
        <v/>
      </c>
      <c r="M30" s="165"/>
      <c r="N30" s="171" t="str">
        <f>IF(OR(表示案４!$AD$7="",表示案４!$AD$7="-",表示案４!$AD$7="*"),"",表示案４!$AD$7)</f>
        <v/>
      </c>
      <c r="O30" s="174"/>
      <c r="P30" s="173" t="str">
        <f>IF(表示案４!$AD$60=0,"",(IF(表示案４!$AD$60&lt;$O$76/100,IF(OR(P29="少量",P29=" 〃 ")," 〃 ","少量"),DBCS(FIXED(表示案４!$AD$60*100,$O$78))&amp;"％")))</f>
        <v/>
      </c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</row>
    <row r="31" spans="1:33" x14ac:dyDescent="0.15">
      <c r="A31" s="165"/>
      <c r="B31" s="171" t="str">
        <f>IF(OR(表示案１!$AE$7="",表示案１!$AE$7="-",表示案１!$AE$7="*"),"",表示案１!$AE$7)</f>
        <v/>
      </c>
      <c r="C31" s="174"/>
      <c r="D31" s="175" t="str">
        <f>IF(表示案１!$AE$60=0,"",(IF(表示案１!$AE$60&lt;$C$76/100,IF(OR(D30="少量",D30=" 〃 ")," 〃 ","少量"),DBCS(FIXED(表示案１!$AE$60*100,$C$78))&amp;"％")))</f>
        <v/>
      </c>
      <c r="E31" s="165"/>
      <c r="F31" s="171" t="str">
        <f>IF(OR(表示案２!$AE$7="",表示案２!$AE$7="-",表示案２!$AE$7="*"),"",表示案２!$AE$7)</f>
        <v/>
      </c>
      <c r="G31" s="174"/>
      <c r="H31" s="175" t="str">
        <f>IF(表示案２!$AE$60=0,"",(IF(表示案２!$AE$60&lt;$G$76/100,IF(OR(H30="少量",H30=" 〃 ")," 〃 ","少量"),DBCS(FIXED(表示案２!$AE$60*100,$G$78))&amp;"％")))</f>
        <v/>
      </c>
      <c r="I31" s="165"/>
      <c r="J31" s="171" t="str">
        <f>IF(OR(表示案３!$AE$7="",表示案３!$AE$7="-",表示案３!$AE$7="*"),"",表示案３!$AE$7)</f>
        <v/>
      </c>
      <c r="K31" s="174"/>
      <c r="L31" s="173" t="str">
        <f>IF(表示案３!$AE$60=0,"",(IF(表示案３!$AE$60&lt;$K$76/100,IF(OR(L30="少量",L30=" 〃 ")," 〃 ","少量"),DBCS(FIXED(表示案３!$AE$60*100,$K$78))&amp;"％")))</f>
        <v/>
      </c>
      <c r="M31" s="165"/>
      <c r="N31" s="171" t="str">
        <f>IF(OR(表示案４!$AE$7="",表示案４!$AE$7="-",表示案４!$AE$7="*"),"",表示案４!$AE$7)</f>
        <v/>
      </c>
      <c r="O31" s="174"/>
      <c r="P31" s="173" t="str">
        <f>IF(表示案４!$AE$60=0,"",(IF(表示案４!$AE$60&lt;$O$76/100,IF(OR(P30="少量",P30=" 〃 ")," 〃 ","少量"),DBCS(FIXED(表示案４!$AE$60*100,$O$78))&amp;"％")))</f>
        <v/>
      </c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  <c r="AG31" s="165"/>
    </row>
    <row r="32" spans="1:33" x14ac:dyDescent="0.15">
      <c r="A32" s="165"/>
      <c r="B32" s="171" t="str">
        <f>IF(OR(表示案１!$AF$7="",表示案１!$AF$7="-",表示案１!$AF$7="*"),"",表示案１!$AF$7)</f>
        <v/>
      </c>
      <c r="C32" s="174"/>
      <c r="D32" s="175" t="str">
        <f>IF(表示案１!$AF$60=0,"",(IF(表示案１!$AF$60&lt;$C$76/100,IF(OR(D31="少量",D31=" 〃 ")," 〃 ","少量"),DBCS(FIXED(表示案１!$AF$60*100,$C$78))&amp;"％")))</f>
        <v/>
      </c>
      <c r="E32" s="165"/>
      <c r="F32" s="171" t="str">
        <f>IF(OR(表示案２!$AF$7="",表示案２!$AF$7="-",表示案２!$AF$7="*"),"",表示案２!$AF$7)</f>
        <v/>
      </c>
      <c r="G32" s="174"/>
      <c r="H32" s="175" t="str">
        <f>IF(表示案２!$AF$60=0,"",(IF(表示案２!$AF$60&lt;$G$76/100,IF(OR(H31="少量",H31=" 〃 ")," 〃 ","少量"),DBCS(FIXED(表示案２!$AF$60*100,$G$78))&amp;"％")))</f>
        <v/>
      </c>
      <c r="I32" s="165"/>
      <c r="J32" s="171" t="str">
        <f>IF(OR(表示案３!$AF$7="",表示案３!$AF$7="-",表示案３!$AF$7="*"),"",表示案３!$AF$7)</f>
        <v/>
      </c>
      <c r="K32" s="174"/>
      <c r="L32" s="173" t="str">
        <f>IF(表示案３!$AF$60=0,"",(IF(表示案３!$AF$60&lt;$K$76/100,IF(OR(L31="少量",L31=" 〃 ")," 〃 ","少量"),DBCS(FIXED(表示案３!$AF$60*100,$K$78))&amp;"％")))</f>
        <v/>
      </c>
      <c r="M32" s="165"/>
      <c r="N32" s="171" t="str">
        <f>IF(OR(表示案４!$AF$7="",表示案４!$AF$7="-",表示案４!$AF$7="*"),"",表示案４!$AF$7)</f>
        <v/>
      </c>
      <c r="O32" s="174"/>
      <c r="P32" s="173" t="str">
        <f>IF(表示案４!$AF$60=0,"",(IF(表示案４!$AF$60&lt;$O$76/100,IF(OR(P31="少量",P31=" 〃 ")," 〃 ","少量"),DBCS(FIXED(表示案４!$AF$60*100,$O$78))&amp;"％")))</f>
        <v/>
      </c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  <c r="AG32" s="165"/>
    </row>
    <row r="33" spans="1:33" x14ac:dyDescent="0.15">
      <c r="A33" s="165"/>
      <c r="B33" s="171" t="str">
        <f>IF(OR(表示案１!$AG$7="",表示案１!$AG$7="-",表示案１!$AG$7="*"),"",表示案１!$AG$7)</f>
        <v/>
      </c>
      <c r="C33" s="174"/>
      <c r="D33" s="175" t="str">
        <f>IF(表示案１!$AG$60=0,"",(IF(表示案１!$AG$60&lt;$C$76/100,IF(OR(D32="少量",D32=" 〃 ")," 〃 ","少量"),DBCS(FIXED(表示案１!$AG$60*100,$C$78))&amp;"％")))</f>
        <v/>
      </c>
      <c r="E33" s="165"/>
      <c r="F33" s="171" t="str">
        <f>IF(OR(表示案２!$AG$7="",表示案２!$AG$7="-",表示案２!$AG$7="*"),"",表示案２!$AG$7)</f>
        <v/>
      </c>
      <c r="G33" s="174"/>
      <c r="H33" s="175" t="str">
        <f>IF(表示案２!$AG$60=0,"",(IF(表示案２!$AG$60&lt;$G$76/100,IF(OR(H32="少量",H32=" 〃 ")," 〃 ","少量"),DBCS(FIXED(表示案２!$AG$60*100,$G$78))&amp;"％")))</f>
        <v/>
      </c>
      <c r="I33" s="165"/>
      <c r="J33" s="171" t="str">
        <f>IF(OR(表示案３!$AG$7="",表示案３!$AG$7="-",表示案３!$AG$7="*"),"",表示案３!$AG$7)</f>
        <v/>
      </c>
      <c r="K33" s="174"/>
      <c r="L33" s="173" t="str">
        <f>IF(表示案３!$AG$60=0,"",(IF(表示案３!$AG$60&lt;$K$76/100,IF(OR(L32="少量",L32=" 〃 ")," 〃 ","少量"),DBCS(FIXED(表示案３!$AG$60*100,$K$78))&amp;"％")))</f>
        <v/>
      </c>
      <c r="M33" s="165"/>
      <c r="N33" s="171" t="str">
        <f>IF(OR(表示案４!$AG$7="",表示案４!$AG$7="-",表示案４!$AG$7="*"),"",表示案４!$AG$7)</f>
        <v/>
      </c>
      <c r="O33" s="174"/>
      <c r="P33" s="173" t="str">
        <f>IF(表示案４!$AG$60=0,"",(IF(表示案４!$AG$60&lt;$O$76/100,IF(OR(P32="少量",P32=" 〃 ")," 〃 ","少量"),DBCS(FIXED(表示案４!$AG$60*100,$O$78))&amp;"％")))</f>
        <v/>
      </c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</row>
    <row r="34" spans="1:33" x14ac:dyDescent="0.15">
      <c r="A34" s="165"/>
      <c r="B34" s="171" t="str">
        <f>IF(OR(表示案１!$AH$7="",表示案１!$AH$7="-",表示案１!$AH$7="*"),"",表示案１!$AH$7)</f>
        <v/>
      </c>
      <c r="C34" s="174"/>
      <c r="D34" s="175" t="str">
        <f>IF(表示案１!$AH$60=0,"",(IF(表示案１!$AH$60&lt;$C$76/100,IF(OR(D33="少量",D33=" 〃 ")," 〃 ","少量"),DBCS(FIXED(表示案１!$AH$60*100,$C$78))&amp;"％")))</f>
        <v/>
      </c>
      <c r="E34" s="165"/>
      <c r="F34" s="171" t="str">
        <f>IF(OR(表示案２!$AH$7="",表示案２!$AH$7="-",表示案２!$AH$7="*"),"",表示案２!$AH$7)</f>
        <v/>
      </c>
      <c r="G34" s="174"/>
      <c r="H34" s="175" t="str">
        <f>IF(表示案２!$AH$60=0,"",(IF(表示案２!$AH$60&lt;$G$76/100,IF(OR(H33="少量",H33=" 〃 ")," 〃 ","少量"),DBCS(FIXED(表示案２!$AH$60*100,$G$78))&amp;"％")))</f>
        <v/>
      </c>
      <c r="I34" s="165"/>
      <c r="J34" s="171" t="str">
        <f>IF(OR(表示案３!$AH$7="",表示案３!$AH$7="-",表示案３!$AH$7="*"),"",表示案３!$AH$7)</f>
        <v/>
      </c>
      <c r="K34" s="174"/>
      <c r="L34" s="173" t="str">
        <f>IF(表示案３!$AH$60=0,"",(IF(表示案３!$AH$60&lt;$K$76/100,IF(OR(L33="少量",L33=" 〃 ")," 〃 ","少量"),DBCS(FIXED(表示案３!$AH$60*100,$K$78))&amp;"％")))</f>
        <v/>
      </c>
      <c r="M34" s="165"/>
      <c r="N34" s="171" t="str">
        <f>IF(OR(表示案４!$AH$7="",表示案４!$AH$7="-",表示案４!$AH$7="*"),"",表示案４!$AH$7)</f>
        <v/>
      </c>
      <c r="O34" s="174"/>
      <c r="P34" s="173" t="str">
        <f>IF(表示案４!$AH$60=0,"",(IF(表示案４!$AH$60&lt;$O$76/100,IF(OR(P33="少量",P33=" 〃 ")," 〃 ","少量"),DBCS(FIXED(表示案４!$AH$60*100,$O$78))&amp;"％")))</f>
        <v/>
      </c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</row>
    <row r="35" spans="1:33" x14ac:dyDescent="0.15">
      <c r="A35" s="165"/>
      <c r="B35" s="171" t="str">
        <f>IF(OR(表示案１!$AI$7="",表示案１!$AI$7="-",表示案１!$AI$7="*"),"",表示案１!$AI$7)</f>
        <v/>
      </c>
      <c r="C35" s="174"/>
      <c r="D35" s="175" t="str">
        <f>IF(表示案１!$AI$60=0,"",(IF(表示案１!$AI$60&lt;$C$76/100,IF(OR(D34="少量",D34=" 〃 ")," 〃 ","少量"),DBCS(FIXED(表示案１!$AI$60*100,$C$78))&amp;"％")))</f>
        <v/>
      </c>
      <c r="E35" s="165"/>
      <c r="F35" s="171" t="str">
        <f>IF(OR(表示案２!$AI$7="",表示案２!$AI$7="-",表示案２!$AI$7="*"),"",表示案２!$AI$7)</f>
        <v/>
      </c>
      <c r="G35" s="174"/>
      <c r="H35" s="175" t="str">
        <f>IF(表示案２!$AI$60=0,"",(IF(表示案２!$AI$60&lt;$G$76/100,IF(OR(H34="少量",H34=" 〃 ")," 〃 ","少量"),DBCS(FIXED(表示案２!$AI$60*100,$G$78))&amp;"％")))</f>
        <v/>
      </c>
      <c r="I35" s="165"/>
      <c r="J35" s="171" t="str">
        <f>IF(OR(表示案３!$AI$7="",表示案３!$AI$7="-",表示案３!$AI$7="*"),"",表示案３!$AI$7)</f>
        <v/>
      </c>
      <c r="K35" s="174"/>
      <c r="L35" s="173" t="str">
        <f>IF(表示案３!$AI$60=0,"",(IF(表示案３!$AI$60&lt;$K$76/100,IF(OR(L34="少量",L34=" 〃 ")," 〃 ","少量"),DBCS(FIXED(表示案３!$AI$60*100,$K$78))&amp;"％")))</f>
        <v/>
      </c>
      <c r="M35" s="165"/>
      <c r="N35" s="171" t="str">
        <f>IF(OR(表示案４!$AI$7="",表示案４!$AI$7="-",表示案４!$AI$7="*"),"",表示案４!$AI$7)</f>
        <v/>
      </c>
      <c r="O35" s="174"/>
      <c r="P35" s="173" t="str">
        <f>IF(表示案４!$AI$60=0,"",(IF(表示案４!$AI$60&lt;$O$76/100,IF(OR(P34="少量",P34=" 〃 ")," 〃 ","少量"),DBCS(FIXED(表示案４!$AI$60*100,$O$78))&amp;"％")))</f>
        <v/>
      </c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  <c r="AG35" s="165"/>
    </row>
    <row r="36" spans="1:33" x14ac:dyDescent="0.15">
      <c r="A36" s="165"/>
      <c r="B36" s="171" t="str">
        <f>IF(OR(表示案１!$AJ$7="",表示案１!$AJ$7="-",表示案１!$AJ$7="*"),"",表示案１!$AJ$7)</f>
        <v/>
      </c>
      <c r="C36" s="174"/>
      <c r="D36" s="175" t="str">
        <f>IF(表示案１!$AJ$60=0,"",(IF(表示案１!$AJ$60&lt;$C$76/100,IF(OR(D35="少量",D35=" 〃 ")," 〃 ","少量"),DBCS(FIXED(表示案１!$AJ$60*100,$C$78))&amp;"％")))</f>
        <v/>
      </c>
      <c r="E36" s="165"/>
      <c r="F36" s="171" t="str">
        <f>IF(OR(表示案２!$AJ$7="",表示案２!$AJ$7="-",表示案２!$AJ$7="*"),"",表示案２!$AJ$7)</f>
        <v/>
      </c>
      <c r="G36" s="174"/>
      <c r="H36" s="175" t="str">
        <f>IF(表示案２!$AJ$60=0,"",(IF(表示案２!$AJ$60&lt;$G$76/100,IF(OR(H35="少量",H35=" 〃 ")," 〃 ","少量"),DBCS(FIXED(表示案２!$AJ$60*100,$G$78))&amp;"％")))</f>
        <v/>
      </c>
      <c r="I36" s="165"/>
      <c r="J36" s="171" t="str">
        <f>IF(OR(表示案３!$AJ$7="",表示案３!$AJ$7="-",表示案３!$AJ$7="*"),"",表示案３!$AJ$7)</f>
        <v/>
      </c>
      <c r="K36" s="174"/>
      <c r="L36" s="173" t="str">
        <f>IF(表示案３!$AJ$60=0,"",(IF(表示案３!$AJ$60&lt;$K$76/100,IF(OR(L35="少量",L35=" 〃 ")," 〃 ","少量"),DBCS(FIXED(表示案３!$AJ$60*100,$K$78))&amp;"％")))</f>
        <v/>
      </c>
      <c r="M36" s="165"/>
      <c r="N36" s="171" t="str">
        <f>IF(OR(表示案４!$AJ$7="",表示案４!$AJ$7="-",表示案４!$AJ$7="*"),"",表示案４!$AJ$7)</f>
        <v/>
      </c>
      <c r="O36" s="174"/>
      <c r="P36" s="173" t="str">
        <f>IF(表示案４!$AJ$60=0,"",(IF(表示案４!$AJ$60&lt;$O$76/100,IF(OR(P35="少量",P35=" 〃 ")," 〃 ","少量"),DBCS(FIXED(表示案４!$AJ$60*100,$O$78))&amp;"％")))</f>
        <v/>
      </c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</row>
    <row r="37" spans="1:33" x14ac:dyDescent="0.15">
      <c r="A37" s="165"/>
      <c r="B37" s="171" t="str">
        <f>IF(OR(表示案１!$AK$7="",表示案１!$AK$7="-",表示案１!$AK$7="*"),"",表示案１!$AK$7)</f>
        <v/>
      </c>
      <c r="C37" s="174"/>
      <c r="D37" s="175" t="str">
        <f>IF(表示案１!$AK$60=0,"",(IF(表示案１!$AK$60&lt;$C$76/100,IF(OR(D36="少量",D36=" 〃 ")," 〃 ","少量"),DBCS(FIXED(表示案１!$AK$60*100,$C$78))&amp;"％")))</f>
        <v/>
      </c>
      <c r="E37" s="165"/>
      <c r="F37" s="171" t="str">
        <f>IF(OR(表示案２!$AK$7="",表示案２!$AK$7="-",表示案２!$AK$7="*"),"",表示案２!$AK$7)</f>
        <v/>
      </c>
      <c r="G37" s="174"/>
      <c r="H37" s="175" t="str">
        <f>IF(表示案２!$AK$60=0,"",(IF(表示案２!$AK$60&lt;$G$76/100,IF(OR(H36="少量",H36=" 〃 ")," 〃 ","少量"),DBCS(FIXED(表示案２!$AK$60*100,$G$78))&amp;"％")))</f>
        <v/>
      </c>
      <c r="I37" s="165"/>
      <c r="J37" s="171" t="str">
        <f>IF(OR(表示案３!$AK$7="",表示案３!$AK$7="-",表示案３!$AK$7="*"),"",表示案３!$AK$7)</f>
        <v/>
      </c>
      <c r="K37" s="174"/>
      <c r="L37" s="173" t="str">
        <f>IF(表示案３!$AK$60=0,"",(IF(表示案３!$AK$60&lt;$K$76/100,IF(OR(L36="少量",L36=" 〃 ")," 〃 ","少量"),DBCS(FIXED(表示案３!$AK$60*100,$K$78))&amp;"％")))</f>
        <v/>
      </c>
      <c r="M37" s="165"/>
      <c r="N37" s="171" t="str">
        <f>IF(OR(表示案４!$AK$7="",表示案４!$AK$7="-",表示案４!$AK$7="*"),"",表示案４!$AK$7)</f>
        <v/>
      </c>
      <c r="O37" s="174"/>
      <c r="P37" s="173" t="str">
        <f>IF(表示案４!$AK$60=0,"",(IF(表示案４!$AK$60&lt;$O$76/100,IF(OR(P36="少量",P36=" 〃 ")," 〃 ","少量"),DBCS(FIXED(表示案４!$AK$60*100,$O$78))&amp;"％")))</f>
        <v/>
      </c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</row>
    <row r="38" spans="1:33" x14ac:dyDescent="0.15">
      <c r="A38" s="165"/>
      <c r="B38" s="171" t="str">
        <f>IF(OR(表示案１!$AL$7="",表示案１!$AL$7="-",表示案１!$AL$7="*"),"",表示案１!$AL$7)</f>
        <v/>
      </c>
      <c r="C38" s="174"/>
      <c r="D38" s="175" t="str">
        <f>IF(表示案１!$AL$60=0,"",(IF(表示案１!$AL$60&lt;$C$76/100,IF(OR(D37="少量",D37=" 〃 ")," 〃 ","少量"),DBCS(FIXED(表示案１!$AL$60*100,$C$78))&amp;"％")))</f>
        <v/>
      </c>
      <c r="E38" s="165"/>
      <c r="F38" s="171" t="str">
        <f>IF(OR(表示案２!$AL$7="",表示案２!$AL$7="-",表示案２!$AL$7="*"),"",表示案２!$AL$7)</f>
        <v/>
      </c>
      <c r="G38" s="174"/>
      <c r="H38" s="175" t="str">
        <f>IF(表示案２!$AL$60=0,"",(IF(表示案２!$AL$60&lt;$G$76/100,IF(OR(H37="少量",H37=" 〃 ")," 〃 ","少量"),DBCS(FIXED(表示案２!$AL$60*100,$G$78))&amp;"％")))</f>
        <v/>
      </c>
      <c r="I38" s="165"/>
      <c r="J38" s="171" t="str">
        <f>IF(OR(表示案３!$AL$7="",表示案３!$AL$7="-",表示案３!$AL$7="*"),"",表示案３!$AL$7)</f>
        <v/>
      </c>
      <c r="K38" s="174"/>
      <c r="L38" s="173" t="str">
        <f>IF(表示案３!$AL$60=0,"",(IF(表示案３!$AL$60&lt;$K$76/100,IF(OR(L37="少量",L37=" 〃 ")," 〃 ","少量"),DBCS(FIXED(表示案３!$AL$60*100,$K$78))&amp;"％")))</f>
        <v/>
      </c>
      <c r="M38" s="165"/>
      <c r="N38" s="171" t="str">
        <f>IF(OR(表示案４!$AL$7="",表示案４!$AL$7="-",表示案４!$AL$7="*"),"",表示案４!$AL$7)</f>
        <v/>
      </c>
      <c r="O38" s="174"/>
      <c r="P38" s="173" t="str">
        <f>IF(表示案４!$AL$60=0,"",(IF(表示案４!$AL$60&lt;$O$76/100,IF(OR(P37="少量",P37=" 〃 ")," 〃 ","少量"),DBCS(FIXED(表示案４!$AL$60*100,$O$78))&amp;"％")))</f>
        <v/>
      </c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</row>
    <row r="39" spans="1:33" x14ac:dyDescent="0.15">
      <c r="A39" s="165"/>
      <c r="B39" s="171" t="str">
        <f>IF(OR(表示案１!$AM$7="",表示案１!$AM$7="-",表示案１!$AM$7="*"),"",表示案１!$AM$7)</f>
        <v/>
      </c>
      <c r="C39" s="174"/>
      <c r="D39" s="175" t="str">
        <f>IF(表示案１!$AM$60=0,"",(IF(表示案１!$AM$60&lt;$C$76/100,IF(OR(D38="少量",D38=" 〃 ")," 〃 ","少量"),DBCS(FIXED(表示案１!$AM$60*100,$C$78))&amp;"％")))</f>
        <v/>
      </c>
      <c r="E39" s="165"/>
      <c r="F39" s="171" t="str">
        <f>IF(OR(表示案２!$AM$7="",表示案２!$AM$7="-",表示案２!$AM$7="*"),"",表示案２!$AM$7)</f>
        <v/>
      </c>
      <c r="G39" s="174"/>
      <c r="H39" s="175" t="str">
        <f>IF(表示案２!$AM$60=0,"",(IF(表示案２!$AM$60&lt;$G$76/100,IF(OR(H38="少量",H38=" 〃 ")," 〃 ","少量"),DBCS(FIXED(表示案２!$AM$60*100,$G$78))&amp;"％")))</f>
        <v/>
      </c>
      <c r="I39" s="165"/>
      <c r="J39" s="171" t="str">
        <f>IF(OR(表示案３!$AM$7="",表示案３!$AM$7="-",表示案３!$AM$7="*"),"",表示案３!$AM$7)</f>
        <v/>
      </c>
      <c r="K39" s="174"/>
      <c r="L39" s="173" t="str">
        <f>IF(表示案３!$AM$60=0,"",(IF(表示案３!$AM$60&lt;$K$76/100,IF(OR(L38="少量",L38=" 〃 ")," 〃 ","少量"),DBCS(FIXED(表示案３!$AM$60*100,$K$78))&amp;"％")))</f>
        <v/>
      </c>
      <c r="M39" s="165"/>
      <c r="N39" s="171" t="str">
        <f>IF(OR(表示案４!$AM$7="",表示案４!$AM$7="-",表示案４!$AM$7="*"),"",表示案４!$AM$7)</f>
        <v/>
      </c>
      <c r="O39" s="174"/>
      <c r="P39" s="173" t="str">
        <f>IF(表示案４!$AM$60=0,"",(IF(表示案４!$AM$60&lt;$O$76/100,IF(OR(P38="少量",P38=" 〃 ")," 〃 ","少量"),DBCS(FIXED(表示案４!$AM$60*100,$O$78))&amp;"％")))</f>
        <v/>
      </c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</row>
    <row r="40" spans="1:33" x14ac:dyDescent="0.15">
      <c r="A40" s="165"/>
      <c r="B40" s="171" t="str">
        <f>IF(OR(表示案１!$AN$7="",表示案１!$AN$7="-",表示案１!$AN$7="*"),"",表示案１!$AN$7)</f>
        <v/>
      </c>
      <c r="C40" s="174"/>
      <c r="D40" s="175" t="str">
        <f>IF(表示案１!$AN$60=0,"",(IF(表示案１!$AN$60&lt;$C$76/100,IF(OR(D39="少量",D39=" 〃 ")," 〃 ","少量"),DBCS(FIXED(表示案１!$AN$60*100,$C$78))&amp;"％")))</f>
        <v/>
      </c>
      <c r="E40" s="165"/>
      <c r="F40" s="171" t="str">
        <f>IF(OR(表示案２!$AN$7="",表示案２!$AN$7="-",表示案２!$AN$7="*"),"",表示案２!$AN$7)</f>
        <v/>
      </c>
      <c r="G40" s="174"/>
      <c r="H40" s="175" t="str">
        <f>IF(表示案２!$AN$60=0,"",(IF(表示案２!$AN$60&lt;$G$76/100,IF(OR(H39="少量",H39=" 〃 ")," 〃 ","少量"),DBCS(FIXED(表示案２!$AN$60*100,$G$78))&amp;"％")))</f>
        <v/>
      </c>
      <c r="I40" s="165"/>
      <c r="J40" s="171" t="str">
        <f>IF(OR(表示案３!$AN$7="",表示案３!$AN$7="-",表示案３!$AN$7="*"),"",表示案３!$AN$7)</f>
        <v/>
      </c>
      <c r="K40" s="174"/>
      <c r="L40" s="173" t="str">
        <f>IF(表示案３!$AN$60=0,"",(IF(表示案３!$AN$60&lt;$K$76/100,IF(OR(L39="少量",L39=" 〃 ")," 〃 ","少量"),DBCS(FIXED(表示案３!$AN$60*100,$K$78))&amp;"％")))</f>
        <v/>
      </c>
      <c r="M40" s="165"/>
      <c r="N40" s="171" t="str">
        <f>IF(OR(表示案４!$AN$7="",表示案４!$AN$7="-",表示案４!$AN$7="*"),"",表示案４!$AN$7)</f>
        <v/>
      </c>
      <c r="O40" s="174"/>
      <c r="P40" s="173" t="str">
        <f>IF(表示案４!$AN$60=0,"",(IF(表示案４!$AN$60&lt;$O$76/100,IF(OR(P39="少量",P39=" 〃 ")," 〃 ","少量"),DBCS(FIXED(表示案４!$AN$60*100,$O$78))&amp;"％")))</f>
        <v/>
      </c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</row>
    <row r="41" spans="1:33" x14ac:dyDescent="0.15">
      <c r="A41" s="165"/>
      <c r="B41" s="171" t="str">
        <f>IF(OR(表示案１!$AO$7="",表示案１!$AO$7="-",表示案１!$AO$7="*"),"",表示案１!$AO$7)</f>
        <v/>
      </c>
      <c r="C41" s="174"/>
      <c r="D41" s="175" t="str">
        <f>IF(表示案１!$AO$60=0,"",(IF(表示案１!$AO$60&lt;$C$76/100,IF(OR(D40="少量",D40=" 〃 ")," 〃 ","少量"),DBCS(FIXED(表示案１!$AO$60*100,$C$78))&amp;"％")))</f>
        <v/>
      </c>
      <c r="E41" s="165"/>
      <c r="F41" s="171" t="str">
        <f>IF(OR(表示案２!$AO$7="",表示案２!$AO$7="-",表示案２!$AO$7="*"),"",表示案２!$AO$7)</f>
        <v/>
      </c>
      <c r="G41" s="174"/>
      <c r="H41" s="175" t="str">
        <f>IF(表示案２!$AO$60=0,"",(IF(表示案２!$AO$60&lt;$G$76/100,IF(OR(H40="少量",H40=" 〃 ")," 〃 ","少量"),DBCS(FIXED(表示案２!$AO$60*100,$G$78))&amp;"％")))</f>
        <v/>
      </c>
      <c r="I41" s="165"/>
      <c r="J41" s="171" t="str">
        <f>IF(OR(表示案３!$AO$7="",表示案３!$AO$7="-",表示案３!$AO$7="*"),"",表示案３!$AO$7)</f>
        <v/>
      </c>
      <c r="K41" s="174"/>
      <c r="L41" s="173" t="str">
        <f>IF(表示案３!$AO$60=0,"",(IF(表示案３!$AO$60&lt;$K$76/100,IF(OR(L40="少量",L40=" 〃 ")," 〃 ","少量"),DBCS(FIXED(表示案３!$AO$60*100,$K$78))&amp;"％")))</f>
        <v/>
      </c>
      <c r="M41" s="165"/>
      <c r="N41" s="171" t="str">
        <f>IF(OR(表示案４!$AO$7="",表示案４!$AO$7="-",表示案４!$AO$7="*"),"",表示案４!$AO$7)</f>
        <v/>
      </c>
      <c r="O41" s="174"/>
      <c r="P41" s="173" t="str">
        <f>IF(表示案４!$AO$60=0,"",(IF(表示案４!$AO$60&lt;$O$76/100,IF(OR(P40="少量",P40=" 〃 ")," 〃 ","少量"),DBCS(FIXED(表示案４!$AO$60*100,$O$78))&amp;"％")))</f>
        <v/>
      </c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</row>
    <row r="42" spans="1:33" x14ac:dyDescent="0.15">
      <c r="A42" s="165"/>
      <c r="B42" s="171" t="str">
        <f>IF(OR(表示案１!$AP$7="",表示案１!$AP$7="-",表示案１!$AP$7="*"),"",表示案１!$AP$7)</f>
        <v/>
      </c>
      <c r="C42" s="174"/>
      <c r="D42" s="175" t="str">
        <f>IF(表示案１!$AP$60=0,"",(IF(表示案１!$AP$60&lt;$C$76/100,IF(OR(D41="少量",D41=" 〃 ")," 〃 ","少量"),DBCS(FIXED(表示案１!$AP$60*100,$C$78))&amp;"％")))</f>
        <v/>
      </c>
      <c r="E42" s="165"/>
      <c r="F42" s="171" t="str">
        <f>IF(OR(表示案２!$AP$7="",表示案２!$AP$7="-",表示案２!$AP$7="*"),"",表示案２!$AP$7)</f>
        <v/>
      </c>
      <c r="G42" s="174"/>
      <c r="H42" s="175" t="str">
        <f>IF(表示案２!$AP$60=0,"",(IF(表示案２!$AP$60&lt;$G$76/100,IF(OR(H41="少量",H41=" 〃 ")," 〃 ","少量"),DBCS(FIXED(表示案２!$AP$60*100,$G$78))&amp;"％")))</f>
        <v/>
      </c>
      <c r="I42" s="165"/>
      <c r="J42" s="171" t="str">
        <f>IF(OR(表示案３!$AP$7="",表示案３!$AP$7="-",表示案３!$AP$7="*"),"",表示案３!$AP$7)</f>
        <v/>
      </c>
      <c r="K42" s="174"/>
      <c r="L42" s="173" t="str">
        <f>IF(表示案３!$AP$60=0,"",(IF(表示案３!$AP$60&lt;$K$76/100,IF(OR(L41="少量",L41=" 〃 ")," 〃 ","少量"),DBCS(FIXED(表示案３!$AP$60*100,$K$78))&amp;"％")))</f>
        <v/>
      </c>
      <c r="M42" s="165"/>
      <c r="N42" s="171" t="str">
        <f>IF(OR(表示案４!$AP$7="",表示案４!$AP$7="-",表示案４!$AP$7="*"),"",表示案４!$AP$7)</f>
        <v/>
      </c>
      <c r="O42" s="174"/>
      <c r="P42" s="173" t="str">
        <f>IF(表示案４!$AP$60=0,"",(IF(表示案４!$AP$60&lt;$O$76/100,IF(OR(P41="少量",P41=" 〃 ")," 〃 ","少量"),DBCS(FIXED(表示案４!$AP$60*100,$O$78))&amp;"％")))</f>
        <v/>
      </c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</row>
    <row r="43" spans="1:33" x14ac:dyDescent="0.15">
      <c r="A43" s="165"/>
      <c r="B43" s="171" t="str">
        <f>IF(OR(表示案１!$AQ$7="",表示案１!$AQ$7="-",表示案１!$AQ$7="*"),"",表示案１!$AQ$7)</f>
        <v/>
      </c>
      <c r="C43" s="174"/>
      <c r="D43" s="175" t="str">
        <f>IF(表示案１!$AQ$60=0,"",(IF(表示案１!$AQ$60&lt;$C$76/100,IF(OR(D42="少量",D42=" 〃 ")," 〃 ","少量"),DBCS(FIXED(表示案１!$AQ$60*100,$C$78))&amp;"％")))</f>
        <v/>
      </c>
      <c r="E43" s="165"/>
      <c r="F43" s="171" t="str">
        <f>IF(OR(表示案２!$AQ$7="",表示案２!$AQ$7="-",表示案２!$AQ$7="*"),"",表示案２!$AQ$7)</f>
        <v/>
      </c>
      <c r="G43" s="174"/>
      <c r="H43" s="175" t="str">
        <f>IF(表示案２!$AQ$60=0,"",(IF(表示案２!$AQ$60&lt;$G$76/100,IF(OR(H42="少量",H42=" 〃 ")," 〃 ","少量"),DBCS(FIXED(表示案２!$AQ$60*100,$G$78))&amp;"％")))</f>
        <v/>
      </c>
      <c r="I43" s="165"/>
      <c r="J43" s="171" t="str">
        <f>IF(OR(表示案３!$AQ$7="",表示案３!$AQ$7="-",表示案３!$AQ$7="*"),"",表示案３!$AQ$7)</f>
        <v/>
      </c>
      <c r="K43" s="174"/>
      <c r="L43" s="173" t="str">
        <f>IF(表示案３!$AQ$60=0,"",(IF(表示案３!$AQ$60&lt;$K$76/100,IF(OR(L42="少量",L42=" 〃 ")," 〃 ","少量"),DBCS(FIXED(表示案３!$AQ$60*100,$K$78))&amp;"％")))</f>
        <v/>
      </c>
      <c r="M43" s="165"/>
      <c r="N43" s="171" t="str">
        <f>IF(OR(表示案４!$AQ$7="",表示案４!$AQ$7="-",表示案４!$AQ$7="*"),"",表示案４!$AQ$7)</f>
        <v/>
      </c>
      <c r="O43" s="174"/>
      <c r="P43" s="173" t="str">
        <f>IF(表示案４!$AQ$60=0,"",(IF(表示案４!$AQ$60&lt;$O$76/100,IF(OR(P42="少量",P42=" 〃 ")," 〃 ","少量"),DBCS(FIXED(表示案４!$AQ$60*100,$O$78))&amp;"％")))</f>
        <v/>
      </c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</row>
    <row r="44" spans="1:33" x14ac:dyDescent="0.15">
      <c r="A44" s="165"/>
      <c r="B44" s="171" t="str">
        <f>IF(OR(表示案１!$AR$7="",表示案１!$AR$7="-",表示案１!$AR$7="*"),"",表示案１!$AR$7)</f>
        <v/>
      </c>
      <c r="C44" s="174"/>
      <c r="D44" s="175" t="str">
        <f>IF(表示案１!$AR$60=0,"",(IF(表示案１!$AR$60&lt;$C$76/100,IF(OR(D43="少量",D43=" 〃 ")," 〃 ","少量"),DBCS(FIXED(表示案１!$AR$60*100,$C$78))&amp;"％")))</f>
        <v/>
      </c>
      <c r="E44" s="165"/>
      <c r="F44" s="171" t="str">
        <f>IF(OR(表示案２!$AR$7="",表示案２!$AR$7="-",表示案２!$AR$7="*"),"",表示案２!$AR$7)</f>
        <v/>
      </c>
      <c r="G44" s="174"/>
      <c r="H44" s="175" t="str">
        <f>IF(表示案２!$AR$60=0,"",(IF(表示案２!$AR$60&lt;$G$76/100,IF(OR(H43="少量",H43=" 〃 ")," 〃 ","少量"),DBCS(FIXED(表示案２!$AR$60*100,$G$78))&amp;"％")))</f>
        <v/>
      </c>
      <c r="I44" s="165"/>
      <c r="J44" s="171" t="str">
        <f>IF(OR(表示案３!$AR$7="",表示案３!$AR$7="-",表示案３!$AR$7="*"),"",表示案３!$AR$7)</f>
        <v/>
      </c>
      <c r="K44" s="174"/>
      <c r="L44" s="173" t="str">
        <f>IF(表示案３!$AR$60=0,"",(IF(表示案３!$AR$60&lt;$K$76/100,IF(OR(L43="少量",L43=" 〃 ")," 〃 ","少量"),DBCS(FIXED(表示案３!$AR$60*100,$K$78))&amp;"％")))</f>
        <v/>
      </c>
      <c r="M44" s="165"/>
      <c r="N44" s="171" t="str">
        <f>IF(OR(表示案４!$AR$7="",表示案４!$AR$7="-",表示案４!$AR$7="*"),"",表示案４!$AR$7)</f>
        <v/>
      </c>
      <c r="O44" s="174"/>
      <c r="P44" s="173" t="str">
        <f>IF(表示案４!$AR$60=0,"",(IF(表示案４!$AR$60&lt;$O$76/100,IF(OR(P43="少量",P43=" 〃 ")," 〃 ","少量"),DBCS(FIXED(表示案４!$AR$60*100,$O$78))&amp;"％")))</f>
        <v/>
      </c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</row>
    <row r="45" spans="1:33" x14ac:dyDescent="0.15">
      <c r="A45" s="165"/>
      <c r="B45" s="171" t="str">
        <f>IF(OR(表示案１!$AS$7="",表示案１!$AS$7="-",表示案１!$AS$7="*"),"",表示案１!$AS$7)</f>
        <v/>
      </c>
      <c r="C45" s="174"/>
      <c r="D45" s="175" t="str">
        <f>IF(表示案１!$AS$60=0,"",(IF(表示案１!$AS$60&lt;$C$76/100,IF(OR(D44="少量",D44=" 〃 ")," 〃 ","少量"),DBCS(FIXED(表示案１!$AS$60*100,$C$78))&amp;"％")))</f>
        <v/>
      </c>
      <c r="E45" s="165"/>
      <c r="F45" s="171" t="str">
        <f>IF(OR(表示案２!$AS$7="",表示案２!$AS$7="-",表示案２!$AS$7="*"),"",表示案２!$AS$7)</f>
        <v/>
      </c>
      <c r="G45" s="174"/>
      <c r="H45" s="175" t="str">
        <f>IF(表示案２!$AS$60=0,"",(IF(表示案２!$AS$60&lt;$G$76/100,IF(OR(H44="少量",H44=" 〃 ")," 〃 ","少量"),DBCS(FIXED(表示案２!$AS$60*100,$G$78))&amp;"％")))</f>
        <v/>
      </c>
      <c r="I45" s="165"/>
      <c r="J45" s="171" t="str">
        <f>IF(OR(表示案３!$AS$7="",表示案３!$AS$7="-",表示案３!$AS$7="*"),"",表示案３!$AS$7)</f>
        <v/>
      </c>
      <c r="K45" s="174"/>
      <c r="L45" s="173" t="str">
        <f>IF(表示案３!$AS$60=0,"",(IF(表示案３!$AS$60&lt;$K$76/100,IF(OR(L44="少量",L44=" 〃 ")," 〃 ","少量"),DBCS(FIXED(表示案３!$AS$60*100,$K$78))&amp;"％")))</f>
        <v/>
      </c>
      <c r="M45" s="165"/>
      <c r="N45" s="171" t="str">
        <f>IF(OR(表示案４!$AS$7="",表示案４!$AS$7="-",表示案４!$AS$7="*"),"",表示案４!$AS$7)</f>
        <v/>
      </c>
      <c r="O45" s="174"/>
      <c r="P45" s="173" t="str">
        <f>IF(表示案４!$AS$60=0,"",(IF(表示案４!$AS$60&lt;$O$76/100,IF(OR(P44="少量",P44=" 〃 ")," 〃 ","少量"),DBCS(FIXED(表示案４!$AS$60*100,$O$78))&amp;"％")))</f>
        <v/>
      </c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</row>
    <row r="46" spans="1:33" x14ac:dyDescent="0.15">
      <c r="A46" s="165"/>
      <c r="B46" s="171" t="str">
        <f>IF(OR(表示案１!$AT$7="",表示案１!$AT$7="-",表示案１!$AT$7="*"),"",表示案１!$AT$7)</f>
        <v/>
      </c>
      <c r="C46" s="174"/>
      <c r="D46" s="175" t="str">
        <f>IF(表示案１!$AT$60=0,"",(IF(表示案１!$AT$60&lt;$C$76/100,IF(OR(D45="少量",D45=" 〃 ")," 〃 ","少量"),DBCS(FIXED(表示案１!$AT$60*100,$C$78))&amp;"％")))</f>
        <v/>
      </c>
      <c r="E46" s="165"/>
      <c r="F46" s="171" t="str">
        <f>IF(OR(表示案２!$AT$7="",表示案２!$AT$7="-",表示案２!$AT$7="*"),"",表示案２!$AT$7)</f>
        <v/>
      </c>
      <c r="G46" s="174"/>
      <c r="H46" s="175" t="str">
        <f>IF(表示案２!$AT$60=0,"",(IF(表示案２!$AT$60&lt;$G$76/100,IF(OR(H45="少量",H45=" 〃 ")," 〃 ","少量"),DBCS(FIXED(表示案２!$AT$60*100,$G$78))&amp;"％")))</f>
        <v/>
      </c>
      <c r="I46" s="165"/>
      <c r="J46" s="171" t="str">
        <f>IF(OR(表示案３!$AT$7="",表示案３!$AT$7="-",表示案３!$AT$7="*"),"",表示案３!$AT$7)</f>
        <v/>
      </c>
      <c r="K46" s="174"/>
      <c r="L46" s="173" t="str">
        <f>IF(表示案３!$AT$60=0,"",(IF(表示案３!$AT$60&lt;$K$76/100,IF(OR(L45="少量",L45=" 〃 ")," 〃 ","少量"),DBCS(FIXED(表示案３!$AT$60*100,$K$78))&amp;"％")))</f>
        <v/>
      </c>
      <c r="M46" s="165"/>
      <c r="N46" s="171" t="str">
        <f>IF(OR(表示案４!$AT$7="",表示案４!$AT$7="-",表示案４!$AT$7="*"),"",表示案４!$AT$7)</f>
        <v/>
      </c>
      <c r="O46" s="174"/>
      <c r="P46" s="173" t="str">
        <f>IF(表示案４!$AT$60=0,"",(IF(表示案４!$AT$60&lt;$O$76/100,IF(OR(P45="少量",P45=" 〃 ")," 〃 ","少量"),DBCS(FIXED(表示案４!$AT$60*100,$O$78))&amp;"％")))</f>
        <v/>
      </c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</row>
    <row r="47" spans="1:33" x14ac:dyDescent="0.15">
      <c r="A47" s="165"/>
      <c r="B47" s="171" t="str">
        <f>IF(OR(表示案１!$AU$7="",表示案１!$AU$7="-",表示案１!$AU$7="*"),"",表示案１!$AU$7)</f>
        <v/>
      </c>
      <c r="C47" s="174"/>
      <c r="D47" s="175" t="str">
        <f>IF(表示案１!$AU$60=0,"",(IF(表示案１!$AU$60&lt;$C$76/100,IF(OR(D46="少量",D46=" 〃 ")," 〃 ","少量"),DBCS(FIXED(表示案１!$AU$60*100,$C$78))&amp;"％")))</f>
        <v/>
      </c>
      <c r="E47" s="165"/>
      <c r="F47" s="171" t="str">
        <f>IF(OR(表示案２!$AU$7="",表示案２!$AU$7="-",表示案２!$AU$7="*"),"",表示案２!$AU$7)</f>
        <v/>
      </c>
      <c r="G47" s="174"/>
      <c r="H47" s="175" t="str">
        <f>IF(表示案２!$AU$60=0,"",(IF(表示案２!$AU$60&lt;$G$76/100,IF(OR(H46="少量",H46=" 〃 ")," 〃 ","少量"),DBCS(FIXED(表示案２!$AU$60*100,$G$78))&amp;"％")))</f>
        <v/>
      </c>
      <c r="I47" s="165"/>
      <c r="J47" s="171" t="str">
        <f>IF(OR(表示案３!$AU$7="",表示案３!$AU$7="-",表示案３!$AU$7="*"),"",表示案３!$AU$7)</f>
        <v/>
      </c>
      <c r="K47" s="174"/>
      <c r="L47" s="173" t="str">
        <f>IF(表示案３!$AU$60=0,"",(IF(表示案３!$AU$60&lt;$K$76/100,IF(OR(L46="少量",L46=" 〃 ")," 〃 ","少量"),DBCS(FIXED(表示案３!$AU$60*100,$K$78))&amp;"％")))</f>
        <v/>
      </c>
      <c r="M47" s="165"/>
      <c r="N47" s="171" t="str">
        <f>IF(OR(表示案４!$AU$7="",表示案４!$AU$7="-",表示案４!$AU$7="*"),"",表示案４!$AU$7)</f>
        <v/>
      </c>
      <c r="O47" s="174"/>
      <c r="P47" s="173" t="str">
        <f>IF(表示案４!$AU$60=0,"",(IF(表示案４!$AU$60&lt;$O$76/100,IF(OR(P46="少量",P46=" 〃 ")," 〃 ","少量"),DBCS(FIXED(表示案４!$AU$60*100,$O$78))&amp;"％")))</f>
        <v/>
      </c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</row>
    <row r="48" spans="1:33" x14ac:dyDescent="0.15">
      <c r="A48" s="165"/>
      <c r="B48" s="171" t="str">
        <f>IF(OR(表示案１!$AV$7="",表示案１!$AV$7="-",表示案１!$AV$7="*"),"",表示案１!$AV$7)</f>
        <v/>
      </c>
      <c r="C48" s="174"/>
      <c r="D48" s="175" t="str">
        <f>IF(表示案１!$AV$60=0,"",(IF(表示案１!$AV$60&lt;$C$76/100,IF(OR(D47="少量",D47=" 〃 ")," 〃 ","少量"),DBCS(FIXED(表示案１!$AV$60*100,$C$78))&amp;"％")))</f>
        <v/>
      </c>
      <c r="E48" s="165"/>
      <c r="F48" s="171" t="str">
        <f>IF(OR(表示案２!$AV$7="",表示案２!$AV$7="-",表示案２!$AV$7="*"),"",表示案２!$AV$7)</f>
        <v/>
      </c>
      <c r="G48" s="174"/>
      <c r="H48" s="175" t="str">
        <f>IF(表示案２!$AV$60=0,"",(IF(表示案２!$AV$60&lt;$G$76/100,IF(OR(H47="少量",H47=" 〃 ")," 〃 ","少量"),DBCS(FIXED(表示案２!$AV$60*100,$G$78))&amp;"％")))</f>
        <v/>
      </c>
      <c r="I48" s="165"/>
      <c r="J48" s="171" t="str">
        <f>IF(OR(表示案３!$AV$7="",表示案３!$AV$7="-",表示案３!$AV$7="*"),"",表示案３!$AV$7)</f>
        <v/>
      </c>
      <c r="K48" s="174"/>
      <c r="L48" s="173" t="str">
        <f>IF(表示案３!$AV$60=0,"",(IF(表示案３!$AV$60&lt;$K$76/100,IF(OR(L47="少量",L47=" 〃 ")," 〃 ","少量"),DBCS(FIXED(表示案３!$AV$60*100,$K$78))&amp;"％")))</f>
        <v/>
      </c>
      <c r="M48" s="165"/>
      <c r="N48" s="171" t="str">
        <f>IF(OR(表示案４!$AV$7="",表示案４!$AV$7="-",表示案４!$AV$7="*"),"",表示案４!$AV$7)</f>
        <v/>
      </c>
      <c r="O48" s="174"/>
      <c r="P48" s="173" t="str">
        <f>IF(表示案４!$AV$60=0,"",(IF(表示案４!$AV$60&lt;$O$76/100,IF(OR(P47="少量",P47=" 〃 ")," 〃 ","少量"),DBCS(FIXED(表示案４!$AV$60*100,$O$78))&amp;"％")))</f>
        <v/>
      </c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</row>
    <row r="49" spans="1:33" x14ac:dyDescent="0.15">
      <c r="A49" s="165"/>
      <c r="B49" s="171" t="str">
        <f>IF(OR(表示案１!$AW$7="",表示案１!$AW$7="-",表示案１!$AW$7="*"),"",表示案１!$AW$7)</f>
        <v/>
      </c>
      <c r="C49" s="174"/>
      <c r="D49" s="175" t="str">
        <f>IF(表示案１!$AW$60=0,"",(IF(表示案１!$AW$60&lt;$C$76/100,IF(OR(D48="少量",D48=" 〃 ")," 〃 ","少量"),DBCS(FIXED(表示案１!$AW$60*100,$C$78))&amp;"％")))</f>
        <v/>
      </c>
      <c r="E49" s="165"/>
      <c r="F49" s="171" t="str">
        <f>IF(OR(表示案２!$AW$7="",表示案２!$AW$7="-",表示案２!$AW$7="*"),"",表示案２!$AW$7)</f>
        <v/>
      </c>
      <c r="G49" s="174"/>
      <c r="H49" s="175" t="str">
        <f>IF(表示案２!$AW$60=0,"",(IF(表示案２!$AW$60&lt;$G$76/100,IF(OR(H48="少量",H48=" 〃 ")," 〃 ","少量"),DBCS(FIXED(表示案２!$AW$60*100,$G$78))&amp;"％")))</f>
        <v/>
      </c>
      <c r="I49" s="165"/>
      <c r="J49" s="171" t="str">
        <f>IF(OR(表示案３!$AW$7="",表示案３!$AW$7="-",表示案３!$AW$7="*"),"",表示案３!$AW$7)</f>
        <v/>
      </c>
      <c r="K49" s="174"/>
      <c r="L49" s="173" t="str">
        <f>IF(表示案３!$AW$60=0,"",(IF(表示案３!$AW$60&lt;$K$76/100,IF(OR(L48="少量",L48=" 〃 ")," 〃 ","少量"),DBCS(FIXED(表示案３!$AW$60*100,$K$78))&amp;"％")))</f>
        <v/>
      </c>
      <c r="M49" s="165"/>
      <c r="N49" s="171" t="str">
        <f>IF(OR(表示案４!$AW$7="",表示案４!$AW$7="-",表示案４!$AW$7="*"),"",表示案４!$AW$7)</f>
        <v/>
      </c>
      <c r="O49" s="174"/>
      <c r="P49" s="173" t="str">
        <f>IF(表示案４!$AW$60=0,"",(IF(表示案４!$AW$60&lt;$O$76/100,IF(OR(P48="少量",P48=" 〃 ")," 〃 ","少量"),DBCS(FIXED(表示案４!$AW$60*100,$O$78))&amp;"％")))</f>
        <v/>
      </c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</row>
    <row r="50" spans="1:33" x14ac:dyDescent="0.15">
      <c r="A50" s="165"/>
      <c r="B50" s="171" t="str">
        <f>IF(OR(表示案１!$AX$7="",表示案１!$AX$7="-",表示案１!$AX$7="*"),"",表示案１!$AX$7)</f>
        <v/>
      </c>
      <c r="C50" s="174"/>
      <c r="D50" s="175" t="str">
        <f>IF(表示案１!$AX$60=0,"",(IF(表示案１!$AX$60&lt;$C$76/100,IF(OR(D49="少量",D49=" 〃 ")," 〃 ","少量"),DBCS(FIXED(表示案１!$AX$60*100,$C$78))&amp;"％")))</f>
        <v/>
      </c>
      <c r="E50" s="165"/>
      <c r="F50" s="171" t="str">
        <f>IF(OR(表示案２!$AX$7="",表示案２!$AX$7="-",表示案２!$AX$7="*"),"",表示案２!$AX$7)</f>
        <v/>
      </c>
      <c r="G50" s="174"/>
      <c r="H50" s="175" t="str">
        <f>IF(表示案２!$AX$60=0,"",(IF(表示案２!$AX$60&lt;$G$76/100,IF(OR(H49="少量",H49=" 〃 ")," 〃 ","少量"),DBCS(FIXED(表示案２!$AX$60*100,$G$78))&amp;"％")))</f>
        <v/>
      </c>
      <c r="I50" s="165"/>
      <c r="J50" s="171" t="str">
        <f>IF(OR(表示案３!$AX$7="",表示案３!$AX$7="-",表示案３!$AX$7="*"),"",表示案３!$AX$7)</f>
        <v/>
      </c>
      <c r="K50" s="174"/>
      <c r="L50" s="173" t="str">
        <f>IF(表示案３!$AX$60=0,"",(IF(表示案３!$AX$60&lt;$K$76/100,IF(OR(L49="少量",L49=" 〃 ")," 〃 ","少量"),DBCS(FIXED(表示案３!$AX$60*100,$K$78))&amp;"％")))</f>
        <v/>
      </c>
      <c r="M50" s="165"/>
      <c r="N50" s="171" t="str">
        <f>IF(OR(表示案４!$AX$7="",表示案４!$AX$7="-",表示案４!$AX$7="*"),"",表示案４!$AX$7)</f>
        <v/>
      </c>
      <c r="O50" s="174"/>
      <c r="P50" s="173" t="str">
        <f>IF(表示案４!$AX$60=0,"",(IF(表示案４!$AX$60&lt;$O$76/100,IF(OR(P49="少量",P49=" 〃 ")," 〃 ","少量"),DBCS(FIXED(表示案４!$AX$60*100,$O$78))&amp;"％")))</f>
        <v/>
      </c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</row>
    <row r="51" spans="1:33" x14ac:dyDescent="0.15">
      <c r="A51" s="165"/>
      <c r="B51" s="171" t="str">
        <f>IF(OR(表示案１!$AY$7="",表示案１!$AY$7="-",表示案１!$AY$7="*"),"",表示案１!$AY$7)</f>
        <v/>
      </c>
      <c r="C51" s="174"/>
      <c r="D51" s="175" t="str">
        <f>IF(表示案１!$AY$60=0,"",(IF(表示案１!$AY$60&lt;$C$76/100,IF(OR(D50="少量",D50=" 〃 ")," 〃 ","少量"),DBCS(FIXED(表示案１!$AY$60*100,$C$78))&amp;"％")))</f>
        <v/>
      </c>
      <c r="E51" s="165"/>
      <c r="F51" s="171" t="str">
        <f>IF(OR(表示案２!$AY$7="",表示案２!$AY$7="-",表示案２!$AY$7="*"),"",表示案２!$AY$7)</f>
        <v/>
      </c>
      <c r="G51" s="174"/>
      <c r="H51" s="175" t="str">
        <f>IF(表示案２!$AY$60=0,"",(IF(表示案２!$AY$60&lt;$G$76/100,IF(OR(H50="少量",H50=" 〃 ")," 〃 ","少量"),DBCS(FIXED(表示案２!$AY$60*100,$G$78))&amp;"％")))</f>
        <v/>
      </c>
      <c r="I51" s="165"/>
      <c r="J51" s="171" t="str">
        <f>IF(OR(表示案３!$AY$7="",表示案３!$AY$7="-",表示案３!$AY$7="*"),"",表示案３!$AY$7)</f>
        <v/>
      </c>
      <c r="K51" s="174"/>
      <c r="L51" s="173" t="str">
        <f>IF(表示案３!$AY$60=0,"",(IF(表示案３!$AY$60&lt;$K$76/100,IF(OR(L50="少量",L50=" 〃 ")," 〃 ","少量"),DBCS(FIXED(表示案３!$AY$60*100,$K$78))&amp;"％")))</f>
        <v/>
      </c>
      <c r="M51" s="165"/>
      <c r="N51" s="171" t="str">
        <f>IF(OR(表示案４!$AY$7="",表示案４!$AY$7="-",表示案４!$AY$7="*"),"",表示案４!$AY$7)</f>
        <v/>
      </c>
      <c r="O51" s="174"/>
      <c r="P51" s="173" t="str">
        <f>IF(表示案４!$AY$60=0,"",(IF(表示案４!$AY$60&lt;$O$76/100,IF(OR(P50="少量",P50=" 〃 ")," 〃 ","少量"),DBCS(FIXED(表示案４!$AY$60*100,$O$78))&amp;"％")))</f>
        <v/>
      </c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</row>
    <row r="52" spans="1:33" x14ac:dyDescent="0.15">
      <c r="A52" s="165"/>
      <c r="B52" s="171" t="str">
        <f>IF(OR(表示案１!$AZ$7="",表示案１!$AZ$7="-",表示案１!$AZ$7="*"),"",表示案１!$AZ$7)</f>
        <v/>
      </c>
      <c r="C52" s="174"/>
      <c r="D52" s="175" t="str">
        <f>IF(表示案１!$AZ$60=0,"",(IF(表示案１!$AZ$60&lt;$C$76/100,IF(OR(D51="少量",D51=" 〃 ")," 〃 ","少量"),DBCS(FIXED(表示案１!$AZ$60*100,$C$78))&amp;"％")))</f>
        <v/>
      </c>
      <c r="E52" s="165"/>
      <c r="F52" s="171" t="str">
        <f>IF(OR(表示案２!$AZ$7="",表示案２!$AZ$7="-",表示案２!$AZ$7="*"),"",表示案２!$AZ$7)</f>
        <v/>
      </c>
      <c r="G52" s="174"/>
      <c r="H52" s="175" t="str">
        <f>IF(表示案２!$AZ$60=0,"",(IF(表示案２!$AZ$60&lt;$G$76/100,IF(OR(H51="少量",H51=" 〃 ")," 〃 ","少量"),DBCS(FIXED(表示案２!$AZ$60*100,$G$78))&amp;"％")))</f>
        <v/>
      </c>
      <c r="I52" s="165"/>
      <c r="J52" s="171" t="str">
        <f>IF(OR(表示案３!$AZ$7="",表示案３!$AZ$7="-",表示案３!$AZ$7="*"),"",表示案３!$AZ$7)</f>
        <v/>
      </c>
      <c r="K52" s="174"/>
      <c r="L52" s="173" t="str">
        <f>IF(表示案３!$AZ$60=0,"",(IF(表示案３!$AZ$60&lt;$K$76/100,IF(OR(L51="少量",L51=" 〃 ")," 〃 ","少量"),DBCS(FIXED(表示案３!$AZ$60*100,$K$78))&amp;"％")))</f>
        <v/>
      </c>
      <c r="M52" s="165"/>
      <c r="N52" s="171" t="str">
        <f>IF(OR(表示案４!$AZ$7="",表示案４!$AZ$7="-",表示案４!$AZ$7="*"),"",表示案４!$AZ$7)</f>
        <v/>
      </c>
      <c r="O52" s="174"/>
      <c r="P52" s="173" t="str">
        <f>IF(表示案４!$AZ$60=0,"",(IF(表示案４!$AZ$60&lt;$O$76/100,IF(OR(P51="少量",P51=" 〃 ")," 〃 ","少量"),DBCS(FIXED(表示案４!$AZ$60*100,$O$78))&amp;"％")))</f>
        <v/>
      </c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</row>
    <row r="53" spans="1:33" x14ac:dyDescent="0.15">
      <c r="A53" s="165"/>
      <c r="B53" s="171" t="str">
        <f>IF(OR(表示案１!$BA$7="",表示案１!$BA$7="-",表示案１!$BA$7="*"),"",表示案１!$BA$7)</f>
        <v/>
      </c>
      <c r="C53" s="174"/>
      <c r="D53" s="175" t="str">
        <f>IF(表示案１!$BA$60=0,"",(IF(表示案１!$BA$60&lt;$C$76/100,IF(OR(D52="少量",D52=" 〃 ")," 〃 ","少量"),DBCS(FIXED(表示案１!$BA$60*100,$C$78))&amp;"％")))</f>
        <v/>
      </c>
      <c r="E53" s="165"/>
      <c r="F53" s="171" t="str">
        <f>IF(OR(表示案２!$BA$7="",表示案２!$BA$7="-",表示案２!$BA$7="*"),"",表示案２!$BA$7)</f>
        <v/>
      </c>
      <c r="G53" s="174"/>
      <c r="H53" s="175" t="str">
        <f>IF(表示案２!$BA$60=0,"",(IF(表示案２!$BA$60&lt;$G$76/100,IF(OR(H52="少量",H52=" 〃 ")," 〃 ","少量"),DBCS(FIXED(表示案２!$BA$60*100,$G$78))&amp;"％")))</f>
        <v/>
      </c>
      <c r="I53" s="165"/>
      <c r="J53" s="171" t="str">
        <f>IF(OR(表示案３!$BA$7="",表示案３!$BA$7="-",表示案３!$BA$7="*"),"",表示案３!$BA$7)</f>
        <v/>
      </c>
      <c r="K53" s="174"/>
      <c r="L53" s="173" t="str">
        <f>IF(表示案３!$BA$60=0,"",(IF(表示案３!$BA$60&lt;$K$76/100,IF(OR(L52="少量",L52=" 〃 ")," 〃 ","少量"),DBCS(FIXED(表示案３!$BA$60*100,$K$78))&amp;"％")))</f>
        <v/>
      </c>
      <c r="M53" s="165"/>
      <c r="N53" s="171" t="str">
        <f>IF(OR(表示案４!$BA$7="",表示案４!$BA$7="-",表示案４!$BA$7="*"),"",表示案４!$BA$7)</f>
        <v/>
      </c>
      <c r="O53" s="174"/>
      <c r="P53" s="173" t="str">
        <f>IF(表示案４!$BA$60=0,"",(IF(表示案４!$BA$60&lt;$O$76/100,IF(OR(P52="少量",P52=" 〃 ")," 〃 ","少量"),DBCS(FIXED(表示案４!$BA$60*100,$O$78))&amp;"％")))</f>
        <v/>
      </c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</row>
    <row r="54" spans="1:33" x14ac:dyDescent="0.15">
      <c r="A54" s="165"/>
      <c r="B54" s="171" t="str">
        <f>IF(OR(表示案１!$BB$7="",表示案１!$BB$7="-",表示案１!$BB$7="*"),"",表示案１!$BB$7)</f>
        <v/>
      </c>
      <c r="C54" s="174"/>
      <c r="D54" s="175" t="str">
        <f>IF(表示案１!$BB$60=0,"",(IF(表示案１!$BB$60&lt;$C$76/100,IF(OR(D53="少量",D53=" 〃 ")," 〃 ","少量"),DBCS(FIXED(表示案１!$BB$60*100,$C$78))&amp;"％")))</f>
        <v/>
      </c>
      <c r="E54" s="165"/>
      <c r="F54" s="171" t="str">
        <f>IF(OR(表示案２!$BB$7="",表示案２!$BB$7="-",表示案２!$BB$7="*"),"",表示案２!$BB$7)</f>
        <v/>
      </c>
      <c r="G54" s="174"/>
      <c r="H54" s="175" t="str">
        <f>IF(表示案２!$BB$60=0,"",(IF(表示案２!$BB$60&lt;$G$76/100,IF(OR(H53="少量",H53=" 〃 ")," 〃 ","少量"),DBCS(FIXED(表示案２!$BB$60*100,$G$78))&amp;"％")))</f>
        <v/>
      </c>
      <c r="I54" s="165"/>
      <c r="J54" s="171" t="str">
        <f>IF(OR(表示案３!$BB$7="",表示案３!$BB$7="-",表示案３!$BB$7="*"),"",表示案３!$BB$7)</f>
        <v/>
      </c>
      <c r="K54" s="174"/>
      <c r="L54" s="173" t="str">
        <f>IF(表示案３!$BB$60=0,"",(IF(表示案３!$BB$60&lt;$K$76/100,IF(OR(L53="少量",L53=" 〃 ")," 〃 ","少量"),DBCS(FIXED(表示案３!$BB$60*100,$K$78))&amp;"％")))</f>
        <v/>
      </c>
      <c r="M54" s="165"/>
      <c r="N54" s="171" t="str">
        <f>IF(OR(表示案４!$BB$7="",表示案４!$BB$7="-",表示案４!$BB$7="*"),"",表示案４!$BB$7)</f>
        <v/>
      </c>
      <c r="O54" s="174"/>
      <c r="P54" s="173" t="str">
        <f>IF(表示案４!$BB$60=0,"",(IF(表示案４!$BB$60&lt;$O$76/100,IF(OR(P53="少量",P53=" 〃 ")," 〃 ","少量"),DBCS(FIXED(表示案４!$BB$60*100,$O$78))&amp;"％")))</f>
        <v/>
      </c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</row>
    <row r="55" spans="1:33" x14ac:dyDescent="0.15">
      <c r="A55" s="165"/>
      <c r="B55" s="171" t="str">
        <f>IF(OR(表示案１!$BC$7="",表示案１!$BC$7="-",表示案１!$BC$7="*"),"",表示案１!$BC$7)</f>
        <v/>
      </c>
      <c r="C55" s="174"/>
      <c r="D55" s="175" t="str">
        <f>IF(表示案１!$BC$60=0,"",(IF(表示案１!$BC$60&lt;$C$76/100,IF(OR(D54="少量",D54=" 〃 ")," 〃 ","少量"),DBCS(FIXED(表示案１!$BC$60*100,$C$78))&amp;"％")))</f>
        <v/>
      </c>
      <c r="E55" s="165"/>
      <c r="F55" s="171" t="str">
        <f>IF(OR(表示案２!$BC$7="",表示案２!$BC$7="-",表示案２!$BC$7="*"),"",表示案２!$BC$7)</f>
        <v/>
      </c>
      <c r="G55" s="174"/>
      <c r="H55" s="175" t="str">
        <f>IF(表示案２!$BC$60=0,"",(IF(表示案２!$BC$60&lt;$G$76/100,IF(OR(H54="少量",H54=" 〃 ")," 〃 ","少量"),DBCS(FIXED(表示案２!$BC$60*100,$G$78))&amp;"％")))</f>
        <v/>
      </c>
      <c r="I55" s="165"/>
      <c r="J55" s="171" t="str">
        <f>IF(OR(表示案３!$BC$7="",表示案３!$BC$7="-",表示案３!$BC$7="*"),"",表示案３!$BC$7)</f>
        <v/>
      </c>
      <c r="K55" s="174"/>
      <c r="L55" s="173" t="str">
        <f>IF(表示案３!$BC$60=0,"",(IF(表示案３!$BC$60&lt;$K$76/100,IF(OR(L54="少量",L54=" 〃 ")," 〃 ","少量"),DBCS(FIXED(表示案３!$BC$60*100,$K$78))&amp;"％")))</f>
        <v/>
      </c>
      <c r="M55" s="165"/>
      <c r="N55" s="171" t="str">
        <f>IF(OR(表示案４!$BC$7="",表示案４!$BC$7="-",表示案４!$BC$7="*"),"",表示案４!$BC$7)</f>
        <v/>
      </c>
      <c r="O55" s="174"/>
      <c r="P55" s="173" t="str">
        <f>IF(表示案４!$BC$60=0,"",(IF(表示案４!$BC$60&lt;$O$76/100,IF(OR(P54="少量",P54=" 〃 ")," 〃 ","少量"),DBCS(FIXED(表示案４!$BC$60*100,$O$78))&amp;"％")))</f>
        <v/>
      </c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</row>
    <row r="56" spans="1:33" x14ac:dyDescent="0.15">
      <c r="A56" s="165"/>
      <c r="B56" s="171" t="str">
        <f>IF(OR(表示案１!$BD$7="",表示案１!$BD$7="-",表示案１!$BD$7="*"),"",表示案１!$BD$7)</f>
        <v/>
      </c>
      <c r="C56" s="174"/>
      <c r="D56" s="175" t="str">
        <f>IF(表示案１!$BD$60=0,"",(IF(表示案１!$BD$60&lt;$C$76/100,IF(OR(D55="少量",D55=" 〃 ")," 〃 ","少量"),DBCS(FIXED(表示案１!$BD$60*100,$C$78))&amp;"％")))</f>
        <v/>
      </c>
      <c r="E56" s="165"/>
      <c r="F56" s="171" t="str">
        <f>IF(OR(表示案２!$BD$7="",表示案２!$BD$7="-",表示案２!$BD$7="*"),"",表示案２!$BD$7)</f>
        <v/>
      </c>
      <c r="G56" s="174"/>
      <c r="H56" s="175" t="str">
        <f>IF(表示案２!$BD$60=0,"",(IF(表示案２!$BD$60&lt;$G$76/100,IF(OR(H55="少量",H55=" 〃 ")," 〃 ","少量"),DBCS(FIXED(表示案２!$BD$60*100,$G$78))&amp;"％")))</f>
        <v/>
      </c>
      <c r="I56" s="165"/>
      <c r="J56" s="171" t="str">
        <f>IF(OR(表示案３!$BD$7="",表示案３!$BD$7="-",表示案３!$BD$7="*"),"",表示案３!$BD$7)</f>
        <v/>
      </c>
      <c r="K56" s="174"/>
      <c r="L56" s="173" t="str">
        <f>IF(表示案３!$BD$60=0,"",(IF(表示案３!$BD$60&lt;$K$76/100,IF(OR(L55="少量",L55=" 〃 ")," 〃 ","少量"),DBCS(FIXED(表示案３!$BD$60*100,$K$78))&amp;"％")))</f>
        <v/>
      </c>
      <c r="M56" s="165"/>
      <c r="N56" s="171" t="str">
        <f>IF(OR(表示案４!$BD$7="",表示案４!$BD$7="-",表示案４!$BD$7="*"),"",表示案４!$BD$7)</f>
        <v/>
      </c>
      <c r="O56" s="174"/>
      <c r="P56" s="173" t="str">
        <f>IF(表示案４!$BD$60=0,"",(IF(表示案４!$BD$60&lt;$O$76/100,IF(OR(P55="少量",P55=" 〃 ")," 〃 ","少量"),DBCS(FIXED(表示案４!$BD$60*100,$O$78))&amp;"％")))</f>
        <v/>
      </c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</row>
    <row r="57" spans="1:33" x14ac:dyDescent="0.15">
      <c r="A57" s="165"/>
      <c r="B57" s="171" t="str">
        <f>IF(OR(表示案１!$BE$7="",表示案１!$BE$7="-",表示案１!$BE$7="*"),"",表示案１!$BE$7)</f>
        <v/>
      </c>
      <c r="C57" s="174"/>
      <c r="D57" s="175" t="str">
        <f>IF(表示案１!$BE$60=0,"",(IF(表示案１!$BE$60&lt;$C$76/100,IF(OR(D56="少量",D56=" 〃 ")," 〃 ","少量"),DBCS(FIXED(表示案１!$BE$60*100,$C$78))&amp;"％")))</f>
        <v/>
      </c>
      <c r="E57" s="165"/>
      <c r="F57" s="171" t="str">
        <f>IF(OR(表示案２!$BE$7="",表示案２!$BE$7="-",表示案２!$BE$7="*"),"",表示案２!$BE$7)</f>
        <v/>
      </c>
      <c r="G57" s="174"/>
      <c r="H57" s="175" t="str">
        <f>IF(表示案２!$BE$60=0,"",(IF(表示案２!$BE$60&lt;$G$76/100,IF(OR(H56="少量",H56=" 〃 ")," 〃 ","少量"),DBCS(FIXED(表示案２!$BE$60*100,$G$78))&amp;"％")))</f>
        <v/>
      </c>
      <c r="I57" s="165"/>
      <c r="J57" s="171" t="str">
        <f>IF(OR(表示案３!$BE$7="",表示案３!$BE$7="-",表示案３!$BE$7="*"),"",表示案３!$BE$7)</f>
        <v/>
      </c>
      <c r="K57" s="174"/>
      <c r="L57" s="173" t="str">
        <f>IF(表示案３!$BE$60=0,"",(IF(表示案３!$BE$60&lt;$K$76/100,IF(OR(L56="少量",L56=" 〃 ")," 〃 ","少量"),DBCS(FIXED(表示案３!$BE$60*100,$K$78))&amp;"％")))</f>
        <v/>
      </c>
      <c r="M57" s="165"/>
      <c r="N57" s="171" t="str">
        <f>IF(OR(表示案４!$BE$7="",表示案４!$BE$7="-",表示案４!$BE$7="*"),"",表示案４!$BE$7)</f>
        <v/>
      </c>
      <c r="O57" s="174"/>
      <c r="P57" s="173" t="str">
        <f>IF(表示案４!$BE$60=0,"",(IF(表示案４!$BE$60&lt;$O$76/100,IF(OR(P56="少量",P56=" 〃 ")," 〃 ","少量"),DBCS(FIXED(表示案４!$BE$60*100,$O$78))&amp;"％")))</f>
        <v/>
      </c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</row>
    <row r="58" spans="1:33" x14ac:dyDescent="0.15">
      <c r="A58" s="165"/>
      <c r="B58" s="171"/>
      <c r="C58" s="174"/>
      <c r="D58" s="173"/>
      <c r="E58" s="165"/>
      <c r="F58" s="176"/>
      <c r="G58" s="177"/>
      <c r="H58" s="173"/>
      <c r="I58" s="165"/>
      <c r="J58" s="171"/>
      <c r="K58" s="174"/>
      <c r="L58" s="173"/>
      <c r="M58" s="165"/>
      <c r="N58" s="171"/>
      <c r="O58" s="174"/>
      <c r="P58" s="173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</row>
    <row r="59" spans="1:33" x14ac:dyDescent="0.15">
      <c r="A59" s="165"/>
      <c r="B59" s="176" t="s">
        <v>226</v>
      </c>
      <c r="C59" s="177"/>
      <c r="D59" s="173" t="e">
        <f>IF(表示案１!BF60="","",(IF(表示案１!BF60&lt;$C$76/100,IF(OR(D58="少量",D58=" 〃 ")," 〃 ","少量"),DBCS(FIXED(表示案１!BF60*100,$C$78))&amp;"％")))</f>
        <v>#DIV/0!</v>
      </c>
      <c r="E59" s="165"/>
      <c r="F59" s="176" t="s">
        <v>226</v>
      </c>
      <c r="G59" s="177"/>
      <c r="H59" s="173" t="e">
        <f>IF(表示案２!BF60="","",(IF(表示案２!BF60&lt;$C$76/100,IF(OR(D58="少量",D58=" 〃 ")," 〃 ","少量"),DBCS(FIXED(表示案２!BF60*100,$C$78))&amp;"％")))</f>
        <v>#DIV/0!</v>
      </c>
      <c r="I59" s="165"/>
      <c r="J59" s="176" t="s">
        <v>226</v>
      </c>
      <c r="K59" s="177"/>
      <c r="L59" s="173" t="e">
        <f>IF(表示案３!BF60="","",(IF(表示案３!BF60&lt;$C$76/100,IF(OR(D58="少量",D58=" 〃 ")," 〃 ","少量"),DBCS(FIXED(表示案３!BF60*100,$C$78))&amp;"％")))</f>
        <v>#DIV/0!</v>
      </c>
      <c r="M59" s="165"/>
      <c r="N59" s="176" t="s">
        <v>226</v>
      </c>
      <c r="O59" s="177"/>
      <c r="P59" s="173" t="e">
        <f>IF(表示案４!BF60="","",(IF(表示案４!BF60&lt;$C$76/100,IF(OR(D58="少量",D58=" 〃 ")," 〃 ","少量"),DBCS(FIXED(表示案４!BF60*100,$C$78))&amp;"％")))</f>
        <v>#DIV/0!</v>
      </c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</row>
    <row r="60" spans="1:33" x14ac:dyDescent="0.15">
      <c r="A60" s="165"/>
      <c r="B60" s="176"/>
      <c r="C60" s="177"/>
      <c r="D60" s="173"/>
      <c r="E60" s="165"/>
      <c r="F60" s="176"/>
      <c r="G60" s="177"/>
      <c r="H60" s="173"/>
      <c r="I60" s="165"/>
      <c r="J60" s="176"/>
      <c r="K60" s="177"/>
      <c r="L60" s="173"/>
      <c r="M60" s="165"/>
      <c r="N60" s="176"/>
      <c r="O60" s="177"/>
      <c r="P60" s="173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</row>
    <row r="61" spans="1:33" x14ac:dyDescent="0.15">
      <c r="A61" s="165"/>
      <c r="B61" s="178" t="s">
        <v>227</v>
      </c>
      <c r="C61" s="179"/>
      <c r="D61" s="180">
        <v>100</v>
      </c>
      <c r="E61" s="165"/>
      <c r="F61" s="178" t="s">
        <v>227</v>
      </c>
      <c r="G61" s="179"/>
      <c r="H61" s="180">
        <v>100</v>
      </c>
      <c r="I61" s="165"/>
      <c r="J61" s="178" t="s">
        <v>227</v>
      </c>
      <c r="K61" s="179"/>
      <c r="L61" s="180">
        <v>100</v>
      </c>
      <c r="M61" s="165"/>
      <c r="N61" s="178" t="s">
        <v>227</v>
      </c>
      <c r="O61" s="179"/>
      <c r="P61" s="180">
        <v>100</v>
      </c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</row>
    <row r="62" spans="1:33" ht="6.75" customHeight="1" x14ac:dyDescent="0.15">
      <c r="A62" s="165"/>
      <c r="B62" s="165"/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</row>
    <row r="63" spans="1:33" x14ac:dyDescent="0.15">
      <c r="A63" s="165"/>
      <c r="B63" s="181" t="s">
        <v>228</v>
      </c>
      <c r="C63" s="182"/>
      <c r="D63" s="183"/>
      <c r="E63" s="165"/>
      <c r="F63" s="181" t="s">
        <v>228</v>
      </c>
      <c r="G63" s="182"/>
      <c r="H63" s="183"/>
      <c r="I63" s="165"/>
      <c r="J63" s="181" t="s">
        <v>228</v>
      </c>
      <c r="K63" s="182"/>
      <c r="L63" s="183"/>
      <c r="M63" s="165"/>
      <c r="N63" s="181" t="s">
        <v>228</v>
      </c>
      <c r="O63" s="182"/>
      <c r="P63" s="183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</row>
    <row r="64" spans="1:33" ht="100.5" customHeight="1" x14ac:dyDescent="0.15">
      <c r="A64" s="165"/>
      <c r="B64" s="230"/>
      <c r="C64" s="231"/>
      <c r="D64" s="232"/>
      <c r="E64" s="165"/>
      <c r="F64" s="230"/>
      <c r="G64" s="231"/>
      <c r="H64" s="232"/>
      <c r="I64" s="165"/>
      <c r="J64" s="230"/>
      <c r="K64" s="231"/>
      <c r="L64" s="232"/>
      <c r="M64" s="165"/>
      <c r="N64" s="230"/>
      <c r="O64" s="231"/>
      <c r="P64" s="232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</row>
    <row r="65" spans="1:33" ht="14.25" customHeight="1" x14ac:dyDescent="0.15">
      <c r="A65" s="219"/>
      <c r="B65" s="233" t="s">
        <v>242</v>
      </c>
      <c r="C65" s="233"/>
      <c r="D65" s="233"/>
      <c r="E65" s="165"/>
      <c r="F65" s="233" t="s">
        <v>242</v>
      </c>
      <c r="G65" s="233"/>
      <c r="H65" s="233"/>
      <c r="I65" s="165"/>
      <c r="J65" s="233" t="s">
        <v>242</v>
      </c>
      <c r="K65" s="233"/>
      <c r="L65" s="233"/>
      <c r="M65" s="165"/>
      <c r="N65" s="233" t="s">
        <v>242</v>
      </c>
      <c r="O65" s="233"/>
      <c r="P65" s="233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</row>
    <row r="66" spans="1:33" ht="33.75" customHeight="1" x14ac:dyDescent="0.15">
      <c r="A66" s="165"/>
      <c r="B66" s="234" t="str">
        <f>_xludf.CONCAT(原料情報１!J4:J1048576)</f>
        <v/>
      </c>
      <c r="C66" s="235"/>
      <c r="D66" s="236"/>
      <c r="E66" s="165"/>
      <c r="F66" s="234" t="str">
        <f>_xludf.CONCAT(原料情報２!J4:J1048576)</f>
        <v/>
      </c>
      <c r="G66" s="235"/>
      <c r="H66" s="236"/>
      <c r="I66" s="225"/>
      <c r="J66" s="234" t="str">
        <f>_xludf.CONCAT(原料情報３!J4:J1048576)</f>
        <v/>
      </c>
      <c r="K66" s="235"/>
      <c r="L66" s="236"/>
      <c r="M66" s="225"/>
      <c r="N66" s="234" t="str">
        <f>_xludf.CONCAT(原料情報４!J4:J1048576)</f>
        <v/>
      </c>
      <c r="O66" s="235"/>
      <c r="P66" s="236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</row>
    <row r="67" spans="1:33" s="185" customFormat="1" ht="12" x14ac:dyDescent="0.15">
      <c r="A67" s="184"/>
      <c r="B67" s="184" t="str">
        <f>"・%は小数第" &amp; C78+1 &amp; "位の四捨五入で表記しています"</f>
        <v>・%は小数第1位の四捨五入で表記しています</v>
      </c>
      <c r="C67" s="184"/>
      <c r="D67" s="184"/>
      <c r="E67" s="184"/>
      <c r="F67" s="184" t="str">
        <f>"・%は小数第" &amp; G78+1 &amp; "位の四捨五入で表記しています"</f>
        <v>・%は小数第1位の四捨五入で表記しています</v>
      </c>
      <c r="G67" s="184"/>
      <c r="H67" s="184"/>
      <c r="I67" s="184"/>
      <c r="J67" s="184" t="str">
        <f>"・%は小数第" &amp; K78+1 &amp; "位の四捨五入で表記しています"</f>
        <v>・%は小数第1位の四捨五入で表記しています</v>
      </c>
      <c r="K67" s="184"/>
      <c r="L67" s="184"/>
      <c r="M67" s="184"/>
      <c r="N67" s="184" t="str">
        <f>"・%は小数第" &amp; O78+1 &amp; "位の四捨五入で表記しています"</f>
        <v>・%は小数第1位の四捨五入で表記しています</v>
      </c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</row>
    <row r="68" spans="1:33" s="185" customFormat="1" ht="12" x14ac:dyDescent="0.15">
      <c r="A68" s="186"/>
      <c r="B68" s="184" t="str">
        <f>"・" &amp; C76 &amp; "%未満は「少量」と表記します"</f>
        <v>・3%未満は「少量」と表記します</v>
      </c>
      <c r="C68" s="184"/>
      <c r="D68" s="187"/>
      <c r="E68" s="186"/>
      <c r="F68" s="184" t="str">
        <f>"・" &amp; G76 &amp; "%未満は「少量」と表記します"</f>
        <v>・3%未満は「少量」と表記します</v>
      </c>
      <c r="G68" s="184"/>
      <c r="H68" s="187"/>
      <c r="I68" s="186"/>
      <c r="J68" s="184" t="str">
        <f>"・" &amp; K76 &amp; "%未満は「少量」と表記します"</f>
        <v>・3%未満は「少量」と表記します</v>
      </c>
      <c r="K68" s="184"/>
      <c r="L68" s="187"/>
      <c r="M68" s="184"/>
      <c r="N68" s="184" t="str">
        <f>"・" &amp; O76 &amp; "%未満は「少量」と表記します"</f>
        <v>・3%未満は「少量」と表記します</v>
      </c>
      <c r="O68" s="184"/>
      <c r="P68" s="187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</row>
    <row r="69" spans="1:33" s="185" customFormat="1" ht="12" x14ac:dyDescent="0.15">
      <c r="A69" s="186"/>
      <c r="B69" s="184" t="s">
        <v>229</v>
      </c>
      <c r="C69" s="184"/>
      <c r="D69" s="187"/>
      <c r="E69" s="186"/>
      <c r="F69" s="184" t="s">
        <v>229</v>
      </c>
      <c r="G69" s="184"/>
      <c r="H69" s="187"/>
      <c r="I69" s="186"/>
      <c r="J69" s="184" t="s">
        <v>229</v>
      </c>
      <c r="K69" s="184"/>
      <c r="L69" s="187"/>
      <c r="M69" s="184"/>
      <c r="N69" s="184" t="s">
        <v>229</v>
      </c>
      <c r="O69" s="184"/>
      <c r="P69" s="187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</row>
    <row r="70" spans="1:33" s="185" customFormat="1" ht="12" x14ac:dyDescent="0.15">
      <c r="A70" s="186"/>
      <c r="B70" s="184" t="s">
        <v>230</v>
      </c>
      <c r="C70" s="184"/>
      <c r="D70" s="187"/>
      <c r="E70" s="186"/>
      <c r="F70" s="184" t="s">
        <v>230</v>
      </c>
      <c r="G70" s="184"/>
      <c r="H70" s="187"/>
      <c r="I70" s="186"/>
      <c r="J70" s="184" t="s">
        <v>230</v>
      </c>
      <c r="K70" s="184"/>
      <c r="L70" s="187"/>
      <c r="M70" s="184"/>
      <c r="N70" s="184" t="s">
        <v>230</v>
      </c>
      <c r="O70" s="184"/>
      <c r="P70" s="187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</row>
    <row r="71" spans="1:33" s="185" customFormat="1" ht="12" x14ac:dyDescent="0.15">
      <c r="A71" s="186"/>
      <c r="B71" s="186"/>
      <c r="C71" s="186"/>
      <c r="D71" s="187"/>
      <c r="E71" s="186"/>
      <c r="F71" s="186"/>
      <c r="G71" s="186"/>
      <c r="H71" s="187"/>
      <c r="I71" s="184"/>
      <c r="J71" s="184"/>
      <c r="K71" s="184"/>
      <c r="L71" s="184"/>
      <c r="M71" s="184"/>
      <c r="N71" s="184"/>
      <c r="O71" s="184"/>
      <c r="P71" s="184"/>
      <c r="Q71" s="184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</row>
    <row r="72" spans="1:33" s="185" customFormat="1" ht="12" x14ac:dyDescent="0.15">
      <c r="A72" s="186"/>
      <c r="B72" s="186"/>
      <c r="C72" s="186"/>
      <c r="D72" s="187"/>
      <c r="E72" s="186"/>
      <c r="F72" s="186"/>
      <c r="G72" s="186"/>
      <c r="H72" s="187"/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</row>
    <row r="73" spans="1:33" ht="14.25" x14ac:dyDescent="0.15">
      <c r="A73" s="188"/>
      <c r="B73" s="189"/>
      <c r="C73" s="189"/>
      <c r="D73" s="190"/>
      <c r="E73" s="188"/>
      <c r="F73" s="189"/>
      <c r="G73" s="189"/>
      <c r="H73" s="190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</row>
    <row r="74" spans="1:33" ht="14.25" x14ac:dyDescent="0.15">
      <c r="A74" s="188"/>
      <c r="B74" s="189"/>
      <c r="C74" s="189"/>
      <c r="D74" s="190"/>
      <c r="E74" s="188"/>
      <c r="F74" s="189"/>
      <c r="G74" s="189"/>
      <c r="H74" s="190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</row>
    <row r="75" spans="1:33" ht="15" thickBot="1" x14ac:dyDescent="0.2">
      <c r="A75" s="188"/>
      <c r="B75" s="189"/>
      <c r="C75" s="189"/>
      <c r="D75" s="190"/>
      <c r="E75" s="188"/>
      <c r="F75" s="189"/>
      <c r="G75" s="189"/>
      <c r="H75" s="190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</row>
    <row r="76" spans="1:33" ht="14.25" thickBot="1" x14ac:dyDescent="0.2">
      <c r="A76" s="166"/>
      <c r="B76" s="191" t="s">
        <v>231</v>
      </c>
      <c r="C76" s="192">
        <v>3</v>
      </c>
      <c r="D76" s="193" t="s">
        <v>232</v>
      </c>
      <c r="E76" s="166"/>
      <c r="F76" s="191" t="s">
        <v>233</v>
      </c>
      <c r="G76" s="192">
        <v>3</v>
      </c>
      <c r="H76" s="193" t="s">
        <v>232</v>
      </c>
      <c r="I76" s="166"/>
      <c r="J76" s="191" t="s">
        <v>233</v>
      </c>
      <c r="K76" s="192">
        <v>3</v>
      </c>
      <c r="L76" s="193" t="s">
        <v>232</v>
      </c>
      <c r="M76" s="165"/>
      <c r="N76" s="191" t="s">
        <v>233</v>
      </c>
      <c r="O76" s="192">
        <v>3</v>
      </c>
      <c r="P76" s="193" t="s">
        <v>232</v>
      </c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</row>
    <row r="77" spans="1:33" ht="14.25" thickBot="1" x14ac:dyDescent="0.2">
      <c r="D77" s="194"/>
      <c r="H77" s="194"/>
      <c r="L77" s="194"/>
      <c r="M77" s="165"/>
      <c r="P77" s="194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</row>
    <row r="78" spans="1:33" ht="14.25" thickBot="1" x14ac:dyDescent="0.2">
      <c r="B78" s="191" t="s">
        <v>234</v>
      </c>
      <c r="C78" s="192">
        <v>0</v>
      </c>
      <c r="D78" s="193" t="s">
        <v>235</v>
      </c>
      <c r="F78" s="191" t="s">
        <v>236</v>
      </c>
      <c r="G78" s="192">
        <v>0</v>
      </c>
      <c r="H78" s="193" t="s">
        <v>235</v>
      </c>
      <c r="J78" s="191" t="s">
        <v>236</v>
      </c>
      <c r="K78" s="192">
        <v>0</v>
      </c>
      <c r="L78" s="193" t="s">
        <v>235</v>
      </c>
      <c r="M78" s="165"/>
      <c r="N78" s="191" t="s">
        <v>236</v>
      </c>
      <c r="O78" s="192">
        <v>0</v>
      </c>
      <c r="P78" s="193" t="s">
        <v>235</v>
      </c>
    </row>
    <row r="79" spans="1:33" x14ac:dyDescent="0.15">
      <c r="M79" s="165"/>
    </row>
    <row r="80" spans="1:33" x14ac:dyDescent="0.15">
      <c r="B80" s="195" t="s">
        <v>237</v>
      </c>
      <c r="C80" t="s">
        <v>238</v>
      </c>
      <c r="F80" s="195" t="s">
        <v>239</v>
      </c>
      <c r="G80" t="s">
        <v>238</v>
      </c>
      <c r="J80" s="195" t="s">
        <v>239</v>
      </c>
      <c r="K80" t="s">
        <v>238</v>
      </c>
      <c r="M80" s="165"/>
      <c r="N80" s="195" t="s">
        <v>239</v>
      </c>
      <c r="O80" t="s">
        <v>238</v>
      </c>
    </row>
    <row r="81" spans="1:15" x14ac:dyDescent="0.15">
      <c r="C81" t="s">
        <v>240</v>
      </c>
      <c r="G81" t="s">
        <v>240</v>
      </c>
      <c r="K81" t="s">
        <v>240</v>
      </c>
      <c r="M81" s="165"/>
      <c r="O81" t="s">
        <v>240</v>
      </c>
    </row>
    <row r="82" spans="1:15" ht="14.25" x14ac:dyDescent="0.15">
      <c r="A82" s="188"/>
      <c r="B82" s="189"/>
      <c r="C82" s="189"/>
      <c r="D82" s="190"/>
      <c r="E82" s="188"/>
      <c r="F82" s="189"/>
      <c r="G82" s="189"/>
      <c r="H82" s="190"/>
      <c r="I82" s="165"/>
      <c r="J82" s="165"/>
      <c r="K82" s="165"/>
      <c r="L82" s="165"/>
      <c r="M82" s="165"/>
      <c r="N82" s="165"/>
      <c r="O82" s="165"/>
    </row>
    <row r="83" spans="1:15" ht="14.25" x14ac:dyDescent="0.15">
      <c r="A83" s="188"/>
      <c r="B83" s="189"/>
      <c r="C83" s="189"/>
      <c r="D83" s="190"/>
      <c r="E83" s="188"/>
      <c r="F83" s="189"/>
      <c r="G83" s="189"/>
      <c r="H83" s="190"/>
    </row>
    <row r="84" spans="1:15" x14ac:dyDescent="0.15">
      <c r="A84" s="188"/>
      <c r="B84" s="196"/>
      <c r="C84" s="196"/>
      <c r="D84" s="188"/>
      <c r="E84" s="188"/>
      <c r="F84" s="196"/>
      <c r="G84" s="196"/>
      <c r="H84" s="188"/>
    </row>
    <row r="85" spans="1:15" x14ac:dyDescent="0.15">
      <c r="A85" s="188"/>
      <c r="B85" s="188"/>
      <c r="C85" s="188"/>
      <c r="D85" s="188"/>
      <c r="E85" s="188"/>
      <c r="F85" s="188"/>
      <c r="G85" s="188"/>
      <c r="H85" s="188"/>
    </row>
    <row r="86" spans="1:15" x14ac:dyDescent="0.15">
      <c r="A86" s="188"/>
      <c r="B86" s="197"/>
      <c r="C86" s="197"/>
      <c r="D86" s="188"/>
      <c r="E86" s="188"/>
      <c r="F86" s="197"/>
      <c r="G86" s="197"/>
      <c r="H86" s="188"/>
    </row>
    <row r="87" spans="1:15" x14ac:dyDescent="0.15">
      <c r="A87" s="188"/>
      <c r="B87" s="188"/>
      <c r="C87" s="188"/>
      <c r="D87" s="188"/>
      <c r="E87" s="188"/>
      <c r="F87" s="188"/>
      <c r="G87" s="188"/>
      <c r="H87" s="188"/>
    </row>
    <row r="88" spans="1:15" x14ac:dyDescent="0.15">
      <c r="A88" s="188"/>
      <c r="B88" s="188"/>
      <c r="C88" s="188"/>
      <c r="D88" s="188"/>
      <c r="E88" s="188"/>
      <c r="F88" s="188"/>
      <c r="G88" s="188"/>
      <c r="H88" s="188"/>
    </row>
    <row r="89" spans="1:15" x14ac:dyDescent="0.15">
      <c r="A89" s="188"/>
      <c r="B89" s="188"/>
      <c r="C89" s="188"/>
      <c r="D89" s="188"/>
      <c r="E89" s="188"/>
      <c r="F89" s="188"/>
      <c r="G89" s="188"/>
      <c r="H89" s="188"/>
    </row>
    <row r="90" spans="1:15" x14ac:dyDescent="0.15">
      <c r="A90" s="188"/>
      <c r="B90" s="188"/>
      <c r="C90" s="188"/>
      <c r="D90" s="188"/>
      <c r="E90" s="188"/>
      <c r="F90" s="188"/>
      <c r="G90" s="188"/>
      <c r="H90" s="188"/>
    </row>
    <row r="91" spans="1:15" x14ac:dyDescent="0.15">
      <c r="A91" s="188"/>
      <c r="B91" s="188"/>
      <c r="C91" s="188"/>
      <c r="D91" s="188"/>
      <c r="E91" s="188"/>
      <c r="F91" s="188"/>
      <c r="G91" s="188"/>
      <c r="H91" s="188"/>
    </row>
    <row r="92" spans="1:15" x14ac:dyDescent="0.15">
      <c r="A92" s="188"/>
      <c r="B92" s="188"/>
      <c r="C92" s="188"/>
      <c r="D92" s="188"/>
      <c r="E92" s="188"/>
      <c r="F92" s="188"/>
      <c r="G92" s="188"/>
      <c r="H92" s="188"/>
    </row>
    <row r="93" spans="1:15" x14ac:dyDescent="0.15">
      <c r="A93" s="188"/>
      <c r="B93" s="188"/>
      <c r="C93" s="188"/>
      <c r="D93" s="188"/>
      <c r="E93" s="188"/>
      <c r="F93" s="188"/>
      <c r="G93" s="188"/>
      <c r="H93" s="188"/>
    </row>
    <row r="94" spans="1:15" x14ac:dyDescent="0.15">
      <c r="A94" s="188"/>
      <c r="B94" s="196"/>
      <c r="C94" s="196"/>
      <c r="D94" s="188"/>
      <c r="E94" s="188"/>
      <c r="F94" s="188"/>
      <c r="G94" s="188"/>
      <c r="H94" s="188"/>
    </row>
    <row r="95" spans="1:15" x14ac:dyDescent="0.15">
      <c r="B95" s="198"/>
      <c r="C95" s="198"/>
      <c r="E95" s="199"/>
    </row>
    <row r="96" spans="1:15" x14ac:dyDescent="0.15">
      <c r="B96" s="198"/>
      <c r="C96" s="198"/>
      <c r="E96" s="199"/>
    </row>
    <row r="97" spans="2:5" x14ac:dyDescent="0.15">
      <c r="B97" s="198"/>
      <c r="C97" s="198"/>
      <c r="E97" s="199"/>
    </row>
    <row r="98" spans="2:5" x14ac:dyDescent="0.15">
      <c r="B98" s="198"/>
      <c r="C98" s="198"/>
      <c r="E98" s="199"/>
    </row>
    <row r="99" spans="2:5" x14ac:dyDescent="0.15">
      <c r="B99" s="198"/>
      <c r="C99" s="198"/>
      <c r="E99" s="199"/>
    </row>
    <row r="100" spans="2:5" x14ac:dyDescent="0.15">
      <c r="B100" s="198"/>
      <c r="C100" s="198"/>
      <c r="E100" s="199"/>
    </row>
    <row r="101" spans="2:5" x14ac:dyDescent="0.15">
      <c r="B101" s="198"/>
      <c r="C101" s="198"/>
      <c r="E101" s="199"/>
    </row>
    <row r="102" spans="2:5" x14ac:dyDescent="0.15">
      <c r="B102" s="198"/>
      <c r="C102" s="198"/>
      <c r="E102" s="199"/>
    </row>
    <row r="103" spans="2:5" x14ac:dyDescent="0.15">
      <c r="B103" s="198"/>
      <c r="C103" s="198"/>
      <c r="E103" s="199"/>
    </row>
    <row r="104" spans="2:5" x14ac:dyDescent="0.15">
      <c r="B104" s="198"/>
      <c r="C104" s="198"/>
      <c r="E104" s="199"/>
    </row>
  </sheetData>
  <mergeCells count="17">
    <mergeCell ref="B65:D65"/>
    <mergeCell ref="F65:H65"/>
    <mergeCell ref="J65:L65"/>
    <mergeCell ref="N65:P65"/>
    <mergeCell ref="B66:D66"/>
    <mergeCell ref="F66:H66"/>
    <mergeCell ref="J66:L66"/>
    <mergeCell ref="N66:P66"/>
    <mergeCell ref="E2:F2"/>
    <mergeCell ref="N7:O7"/>
    <mergeCell ref="N64:P64"/>
    <mergeCell ref="B64:D64"/>
    <mergeCell ref="F64:H64"/>
    <mergeCell ref="J64:L64"/>
    <mergeCell ref="B7:C7"/>
    <mergeCell ref="F7:G7"/>
    <mergeCell ref="J7:K7"/>
  </mergeCells>
  <phoneticPr fontId="3"/>
  <pageMargins left="0.19685039370078741" right="0.19685039370078741" top="0.19685039370078741" bottom="0.19685039370078741" header="0.51181102362204722" footer="0.51181102362204722"/>
  <pageSetup paperSize="9" scale="5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3" r:id="rId4" name="cmdOutputEigyo">
          <controlPr defaultSize="0" autoLine="0" r:id="rId5">
            <anchor moveWithCells="1">
              <from>
                <xdr:col>1</xdr:col>
                <xdr:colOff>314325</xdr:colOff>
                <xdr:row>82</xdr:row>
                <xdr:rowOff>123825</xdr:rowOff>
              </from>
              <to>
                <xdr:col>2</xdr:col>
                <xdr:colOff>1790700</xdr:colOff>
                <xdr:row>84</xdr:row>
                <xdr:rowOff>66675</xdr:rowOff>
              </to>
            </anchor>
          </controlPr>
        </control>
      </mc:Choice>
      <mc:Fallback>
        <control shapeId="5133" r:id="rId4" name="cmdOutputEigy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K100"/>
  <sheetViews>
    <sheetView workbookViewId="0">
      <selection activeCell="D50" sqref="D50"/>
    </sheetView>
  </sheetViews>
  <sheetFormatPr defaultRowHeight="13.5" x14ac:dyDescent="0.15"/>
  <sheetData>
    <row r="1" spans="1:9" x14ac:dyDescent="0.15">
      <c r="A1" s="11" t="s">
        <v>13</v>
      </c>
      <c r="B1" s="11"/>
      <c r="C1" s="11"/>
      <c r="D1" s="11"/>
      <c r="E1" s="11"/>
      <c r="F1" s="11"/>
      <c r="G1" s="11"/>
      <c r="H1" s="11"/>
      <c r="I1" s="11"/>
    </row>
    <row r="2" spans="1:9" x14ac:dyDescent="0.15">
      <c r="A2" s="11" t="s">
        <v>14</v>
      </c>
      <c r="B2" s="11" t="s">
        <v>15</v>
      </c>
      <c r="C2" s="11" t="s">
        <v>16</v>
      </c>
      <c r="D2" s="11" t="s">
        <v>17</v>
      </c>
      <c r="E2" s="11" t="s">
        <v>18</v>
      </c>
      <c r="F2" s="11" t="s">
        <v>19</v>
      </c>
      <c r="G2" s="11" t="s">
        <v>20</v>
      </c>
      <c r="H2" s="11" t="s">
        <v>21</v>
      </c>
      <c r="I2" s="11" t="s">
        <v>22</v>
      </c>
    </row>
    <row r="3" spans="1:9" x14ac:dyDescent="0.15">
      <c r="A3" s="11">
        <v>1</v>
      </c>
      <c r="B3" s="11" t="s">
        <v>23</v>
      </c>
      <c r="C3" s="11">
        <v>1</v>
      </c>
      <c r="D3" s="11">
        <v>0</v>
      </c>
      <c r="E3" s="11" t="s">
        <v>24</v>
      </c>
      <c r="F3" s="11" t="s">
        <v>25</v>
      </c>
      <c r="G3" s="11">
        <v>1</v>
      </c>
      <c r="H3" s="11" t="s">
        <v>26</v>
      </c>
      <c r="I3" s="11"/>
    </row>
    <row r="4" spans="1:9" x14ac:dyDescent="0.15">
      <c r="A4" s="11">
        <v>2</v>
      </c>
      <c r="B4" s="11" t="s">
        <v>23</v>
      </c>
      <c r="C4" s="11">
        <v>1</v>
      </c>
      <c r="D4" s="11">
        <v>1</v>
      </c>
      <c r="E4" s="11" t="s">
        <v>24</v>
      </c>
      <c r="F4" s="11" t="s">
        <v>25</v>
      </c>
      <c r="G4" s="11">
        <v>1</v>
      </c>
      <c r="H4" s="11" t="s">
        <v>27</v>
      </c>
      <c r="I4" s="11"/>
    </row>
    <row r="5" spans="1:9" x14ac:dyDescent="0.15">
      <c r="A5" s="11">
        <v>3</v>
      </c>
      <c r="B5" s="11" t="s">
        <v>23</v>
      </c>
      <c r="C5" s="11">
        <v>0</v>
      </c>
      <c r="D5" s="11">
        <v>3</v>
      </c>
      <c r="E5" s="11" t="s">
        <v>28</v>
      </c>
      <c r="F5" s="11" t="s">
        <v>25</v>
      </c>
      <c r="G5" s="11">
        <v>100</v>
      </c>
      <c r="H5" s="11" t="s">
        <v>29</v>
      </c>
      <c r="I5" s="11"/>
    </row>
    <row r="6" spans="1:9" x14ac:dyDescent="0.15">
      <c r="A6" s="11">
        <v>4</v>
      </c>
      <c r="B6" s="11" t="s">
        <v>23</v>
      </c>
      <c r="C6" s="11">
        <v>1</v>
      </c>
      <c r="D6" s="11">
        <v>3</v>
      </c>
      <c r="E6" s="11" t="s">
        <v>28</v>
      </c>
      <c r="F6" s="11" t="s">
        <v>25</v>
      </c>
      <c r="G6" s="11">
        <v>100</v>
      </c>
      <c r="H6" s="11" t="s">
        <v>30</v>
      </c>
      <c r="I6" s="11"/>
    </row>
    <row r="7" spans="1:9" x14ac:dyDescent="0.15">
      <c r="A7" s="11">
        <v>5</v>
      </c>
      <c r="B7" s="11" t="s">
        <v>23</v>
      </c>
      <c r="C7" s="11">
        <v>2</v>
      </c>
      <c r="D7" s="11">
        <v>3</v>
      </c>
      <c r="E7" s="11" t="s">
        <v>28</v>
      </c>
      <c r="F7" s="11" t="s">
        <v>25</v>
      </c>
      <c r="G7" s="11">
        <v>100</v>
      </c>
      <c r="H7" s="11" t="s">
        <v>31</v>
      </c>
      <c r="I7" s="11"/>
    </row>
    <row r="8" spans="1:9" x14ac:dyDescent="0.15">
      <c r="A8" s="11">
        <v>6</v>
      </c>
      <c r="B8" s="11" t="s">
        <v>23</v>
      </c>
      <c r="C8" s="11">
        <v>3</v>
      </c>
      <c r="D8" s="11">
        <v>3</v>
      </c>
      <c r="E8" s="11" t="s">
        <v>28</v>
      </c>
      <c r="F8" s="11" t="s">
        <v>25</v>
      </c>
      <c r="G8" s="11">
        <v>100</v>
      </c>
      <c r="H8" s="11" t="s">
        <v>32</v>
      </c>
      <c r="I8" s="11"/>
    </row>
    <row r="9" spans="1:9" x14ac:dyDescent="0.15">
      <c r="A9" s="11">
        <v>7</v>
      </c>
      <c r="B9" s="11" t="s">
        <v>23</v>
      </c>
      <c r="C9" s="11">
        <v>4</v>
      </c>
      <c r="D9" s="11">
        <v>3</v>
      </c>
      <c r="E9" s="11" t="s">
        <v>28</v>
      </c>
      <c r="F9" s="11" t="s">
        <v>25</v>
      </c>
      <c r="G9" s="11">
        <v>100</v>
      </c>
      <c r="H9" s="11" t="s">
        <v>33</v>
      </c>
      <c r="I9" s="11"/>
    </row>
    <row r="10" spans="1:9" x14ac:dyDescent="0.15">
      <c r="A10" s="11">
        <v>8</v>
      </c>
      <c r="B10" s="11" t="s">
        <v>23</v>
      </c>
      <c r="C10" s="11">
        <v>5</v>
      </c>
      <c r="D10" s="11">
        <v>3</v>
      </c>
      <c r="E10" s="11" t="s">
        <v>28</v>
      </c>
      <c r="F10" s="11" t="s">
        <v>25</v>
      </c>
      <c r="G10" s="11">
        <v>100</v>
      </c>
      <c r="H10" s="11" t="s">
        <v>34</v>
      </c>
      <c r="I10" s="11"/>
    </row>
    <row r="11" spans="1:9" x14ac:dyDescent="0.15">
      <c r="A11" s="11">
        <v>9</v>
      </c>
      <c r="B11" s="11" t="s">
        <v>23</v>
      </c>
      <c r="C11" s="11">
        <v>6</v>
      </c>
      <c r="D11" s="11">
        <v>3</v>
      </c>
      <c r="E11" s="11" t="s">
        <v>28</v>
      </c>
      <c r="F11" s="11" t="s">
        <v>25</v>
      </c>
      <c r="G11" s="11">
        <v>100</v>
      </c>
      <c r="H11" s="11" t="s">
        <v>35</v>
      </c>
      <c r="I11" s="11"/>
    </row>
    <row r="12" spans="1:9" x14ac:dyDescent="0.15">
      <c r="A12" s="11">
        <v>10</v>
      </c>
      <c r="B12" s="11" t="s">
        <v>23</v>
      </c>
      <c r="C12" s="11">
        <v>7</v>
      </c>
      <c r="D12" s="11">
        <v>3</v>
      </c>
      <c r="E12" s="11" t="s">
        <v>28</v>
      </c>
      <c r="F12" s="11" t="s">
        <v>25</v>
      </c>
      <c r="G12" s="11">
        <v>100</v>
      </c>
      <c r="H12" s="11" t="s">
        <v>36</v>
      </c>
      <c r="I12" s="11"/>
    </row>
    <row r="13" spans="1:9" x14ac:dyDescent="0.15">
      <c r="A13" s="11">
        <v>11</v>
      </c>
      <c r="B13" s="11" t="s">
        <v>23</v>
      </c>
      <c r="C13" s="11">
        <v>1</v>
      </c>
      <c r="D13" s="11">
        <v>154</v>
      </c>
      <c r="E13" s="11" t="s">
        <v>24</v>
      </c>
      <c r="F13" s="11" t="s">
        <v>25</v>
      </c>
      <c r="G13" s="11">
        <v>1</v>
      </c>
      <c r="H13" s="11" t="s">
        <v>37</v>
      </c>
      <c r="I13" s="11"/>
    </row>
    <row r="14" spans="1:9" x14ac:dyDescent="0.15">
      <c r="A14" s="11">
        <v>12</v>
      </c>
      <c r="B14" s="11" t="s">
        <v>23</v>
      </c>
      <c r="C14" s="11">
        <v>2</v>
      </c>
      <c r="D14" s="11">
        <v>154</v>
      </c>
      <c r="E14" s="11" t="s">
        <v>24</v>
      </c>
      <c r="F14" s="11" t="s">
        <v>25</v>
      </c>
      <c r="G14" s="11">
        <v>1</v>
      </c>
      <c r="H14" s="11" t="s">
        <v>38</v>
      </c>
      <c r="I14" s="11"/>
    </row>
    <row r="15" spans="1:9" x14ac:dyDescent="0.15">
      <c r="A15" s="11">
        <v>13</v>
      </c>
      <c r="B15" s="11" t="s">
        <v>39</v>
      </c>
      <c r="C15" s="11">
        <v>1</v>
      </c>
      <c r="D15" s="11">
        <v>0</v>
      </c>
      <c r="E15" s="11" t="s">
        <v>24</v>
      </c>
      <c r="F15" s="11" t="s">
        <v>25</v>
      </c>
      <c r="G15" s="11">
        <v>1</v>
      </c>
      <c r="H15" s="11" t="s">
        <v>40</v>
      </c>
      <c r="I15" s="11"/>
    </row>
    <row r="16" spans="1:9" x14ac:dyDescent="0.15">
      <c r="A16" s="11">
        <v>14</v>
      </c>
      <c r="B16" s="11" t="s">
        <v>39</v>
      </c>
      <c r="C16" s="11">
        <v>1</v>
      </c>
      <c r="D16" s="11">
        <v>1</v>
      </c>
      <c r="E16" s="11" t="s">
        <v>24</v>
      </c>
      <c r="F16" s="11" t="s">
        <v>25</v>
      </c>
      <c r="G16" s="11">
        <v>1</v>
      </c>
      <c r="H16" s="11" t="s">
        <v>41</v>
      </c>
      <c r="I16" s="11"/>
    </row>
    <row r="17" spans="1:9" x14ac:dyDescent="0.15">
      <c r="A17" s="11">
        <v>15</v>
      </c>
      <c r="B17" s="11" t="s">
        <v>39</v>
      </c>
      <c r="C17" s="11">
        <v>0</v>
      </c>
      <c r="D17" s="11">
        <v>3</v>
      </c>
      <c r="E17" s="11" t="s">
        <v>28</v>
      </c>
      <c r="F17" s="11" t="s">
        <v>25</v>
      </c>
      <c r="G17" s="11">
        <v>100</v>
      </c>
      <c r="H17" s="11" t="s">
        <v>42</v>
      </c>
      <c r="I17" s="11"/>
    </row>
    <row r="18" spans="1:9" x14ac:dyDescent="0.15">
      <c r="A18" s="11">
        <v>16</v>
      </c>
      <c r="B18" s="11" t="s">
        <v>39</v>
      </c>
      <c r="C18" s="11">
        <v>1</v>
      </c>
      <c r="D18" s="11">
        <v>3</v>
      </c>
      <c r="E18" s="11" t="s">
        <v>28</v>
      </c>
      <c r="F18" s="11" t="s">
        <v>25</v>
      </c>
      <c r="G18" s="11">
        <v>100</v>
      </c>
      <c r="H18" s="11" t="s">
        <v>43</v>
      </c>
      <c r="I18" s="11"/>
    </row>
    <row r="19" spans="1:9" x14ac:dyDescent="0.15">
      <c r="A19" s="11">
        <v>17</v>
      </c>
      <c r="B19" s="11" t="s">
        <v>39</v>
      </c>
      <c r="C19" s="11">
        <v>2</v>
      </c>
      <c r="D19" s="11">
        <v>3</v>
      </c>
      <c r="E19" s="11" t="s">
        <v>28</v>
      </c>
      <c r="F19" s="11" t="s">
        <v>25</v>
      </c>
      <c r="G19" s="11">
        <v>100</v>
      </c>
      <c r="H19" s="11" t="s">
        <v>44</v>
      </c>
      <c r="I19" s="11"/>
    </row>
    <row r="20" spans="1:9" x14ac:dyDescent="0.15">
      <c r="A20" s="11">
        <v>18</v>
      </c>
      <c r="B20" s="11" t="s">
        <v>39</v>
      </c>
      <c r="C20" s="11">
        <v>3</v>
      </c>
      <c r="D20" s="11">
        <v>3</v>
      </c>
      <c r="E20" s="11" t="s">
        <v>28</v>
      </c>
      <c r="F20" s="11" t="s">
        <v>25</v>
      </c>
      <c r="G20" s="11">
        <v>100</v>
      </c>
      <c r="H20" s="11" t="s">
        <v>45</v>
      </c>
      <c r="I20" s="11"/>
    </row>
    <row r="21" spans="1:9" x14ac:dyDescent="0.15">
      <c r="A21" s="11">
        <v>19</v>
      </c>
      <c r="B21" s="11" t="s">
        <v>39</v>
      </c>
      <c r="C21" s="11">
        <v>4</v>
      </c>
      <c r="D21" s="11">
        <v>3</v>
      </c>
      <c r="E21" s="11" t="s">
        <v>28</v>
      </c>
      <c r="F21" s="11" t="s">
        <v>25</v>
      </c>
      <c r="G21" s="11">
        <v>100</v>
      </c>
      <c r="H21" s="11" t="s">
        <v>46</v>
      </c>
      <c r="I21" s="11"/>
    </row>
    <row r="22" spans="1:9" x14ac:dyDescent="0.15">
      <c r="A22" s="11">
        <v>20</v>
      </c>
      <c r="B22" s="11" t="s">
        <v>39</v>
      </c>
      <c r="C22" s="11">
        <v>5</v>
      </c>
      <c r="D22" s="11">
        <v>3</v>
      </c>
      <c r="E22" s="11" t="s">
        <v>28</v>
      </c>
      <c r="F22" s="11" t="s">
        <v>25</v>
      </c>
      <c r="G22" s="11">
        <v>100</v>
      </c>
      <c r="H22" s="11" t="s">
        <v>47</v>
      </c>
      <c r="I22" s="11"/>
    </row>
    <row r="23" spans="1:9" x14ac:dyDescent="0.15">
      <c r="A23" s="11">
        <v>21</v>
      </c>
      <c r="B23" s="11" t="s">
        <v>39</v>
      </c>
      <c r="C23" s="11">
        <v>6</v>
      </c>
      <c r="D23" s="11">
        <v>3</v>
      </c>
      <c r="E23" s="11" t="s">
        <v>28</v>
      </c>
      <c r="F23" s="11" t="s">
        <v>25</v>
      </c>
      <c r="G23" s="11">
        <v>100</v>
      </c>
      <c r="H23" s="11" t="s">
        <v>48</v>
      </c>
      <c r="I23" s="11"/>
    </row>
    <row r="24" spans="1:9" x14ac:dyDescent="0.15">
      <c r="A24" s="11">
        <v>22</v>
      </c>
      <c r="B24" s="11" t="s">
        <v>39</v>
      </c>
      <c r="C24" s="11">
        <v>7</v>
      </c>
      <c r="D24" s="11">
        <v>3</v>
      </c>
      <c r="E24" s="11" t="s">
        <v>28</v>
      </c>
      <c r="F24" s="11" t="s">
        <v>25</v>
      </c>
      <c r="G24" s="11">
        <v>100</v>
      </c>
      <c r="H24" s="11" t="s">
        <v>49</v>
      </c>
      <c r="I24" s="11"/>
    </row>
    <row r="25" spans="1:9" x14ac:dyDescent="0.15">
      <c r="A25" s="11">
        <v>23</v>
      </c>
      <c r="B25" s="11" t="s">
        <v>39</v>
      </c>
      <c r="C25" s="11">
        <v>1</v>
      </c>
      <c r="D25" s="11">
        <v>154</v>
      </c>
      <c r="E25" s="11" t="s">
        <v>24</v>
      </c>
      <c r="F25" s="11" t="s">
        <v>25</v>
      </c>
      <c r="G25" s="11">
        <v>1</v>
      </c>
      <c r="H25" s="11" t="s">
        <v>50</v>
      </c>
      <c r="I25" s="11"/>
    </row>
    <row r="26" spans="1:9" x14ac:dyDescent="0.15">
      <c r="A26" s="11">
        <v>24</v>
      </c>
      <c r="B26" s="11" t="s">
        <v>39</v>
      </c>
      <c r="C26" s="11">
        <v>2</v>
      </c>
      <c r="D26" s="11">
        <v>154</v>
      </c>
      <c r="E26" s="11" t="s">
        <v>24</v>
      </c>
      <c r="F26" s="11" t="s">
        <v>25</v>
      </c>
      <c r="G26" s="11">
        <v>1</v>
      </c>
      <c r="H26" s="11" t="s">
        <v>51</v>
      </c>
      <c r="I26" s="11"/>
    </row>
    <row r="27" spans="1:9" x14ac:dyDescent="0.15">
      <c r="A27" s="11">
        <v>25</v>
      </c>
      <c r="B27" s="11" t="s">
        <v>52</v>
      </c>
      <c r="C27" s="11">
        <v>1</v>
      </c>
      <c r="D27" s="11">
        <v>0</v>
      </c>
      <c r="E27" s="11" t="s">
        <v>24</v>
      </c>
      <c r="F27" s="11" t="s">
        <v>25</v>
      </c>
      <c r="G27" s="11">
        <v>1</v>
      </c>
      <c r="H27" s="11" t="s">
        <v>53</v>
      </c>
      <c r="I27" s="11"/>
    </row>
    <row r="28" spans="1:9" x14ac:dyDescent="0.15">
      <c r="A28" s="11">
        <v>26</v>
      </c>
      <c r="B28" s="11" t="s">
        <v>52</v>
      </c>
      <c r="C28" s="11">
        <v>1</v>
      </c>
      <c r="D28" s="11">
        <v>1</v>
      </c>
      <c r="E28" s="11" t="s">
        <v>24</v>
      </c>
      <c r="F28" s="11" t="s">
        <v>25</v>
      </c>
      <c r="G28" s="11">
        <v>1</v>
      </c>
      <c r="H28" s="11" t="s">
        <v>54</v>
      </c>
      <c r="I28" s="11"/>
    </row>
    <row r="29" spans="1:9" x14ac:dyDescent="0.15">
      <c r="A29" s="11">
        <v>27</v>
      </c>
      <c r="B29" s="11" t="s">
        <v>52</v>
      </c>
      <c r="C29" s="11">
        <v>0</v>
      </c>
      <c r="D29" s="11">
        <v>3</v>
      </c>
      <c r="E29" s="11" t="s">
        <v>28</v>
      </c>
      <c r="F29" s="11" t="s">
        <v>25</v>
      </c>
      <c r="G29" s="11">
        <v>100</v>
      </c>
      <c r="H29" s="11" t="s">
        <v>55</v>
      </c>
      <c r="I29" s="11"/>
    </row>
    <row r="30" spans="1:9" x14ac:dyDescent="0.15">
      <c r="A30" s="11">
        <v>28</v>
      </c>
      <c r="B30" s="11" t="s">
        <v>52</v>
      </c>
      <c r="C30" s="11">
        <v>1</v>
      </c>
      <c r="D30" s="11">
        <v>3</v>
      </c>
      <c r="E30" s="11" t="s">
        <v>28</v>
      </c>
      <c r="F30" s="11" t="s">
        <v>25</v>
      </c>
      <c r="G30" s="11">
        <v>100</v>
      </c>
      <c r="H30" s="11" t="s">
        <v>56</v>
      </c>
      <c r="I30" s="11"/>
    </row>
    <row r="31" spans="1:9" x14ac:dyDescent="0.15">
      <c r="A31" s="11">
        <v>29</v>
      </c>
      <c r="B31" s="11" t="s">
        <v>52</v>
      </c>
      <c r="C31" s="11">
        <v>2</v>
      </c>
      <c r="D31" s="11">
        <v>3</v>
      </c>
      <c r="E31" s="11" t="s">
        <v>28</v>
      </c>
      <c r="F31" s="11" t="s">
        <v>25</v>
      </c>
      <c r="G31" s="11">
        <v>100</v>
      </c>
      <c r="H31" s="11" t="s">
        <v>57</v>
      </c>
      <c r="I31" s="11"/>
    </row>
    <row r="32" spans="1:9" x14ac:dyDescent="0.15">
      <c r="A32" s="11">
        <v>30</v>
      </c>
      <c r="B32" s="11" t="s">
        <v>52</v>
      </c>
      <c r="C32" s="11">
        <v>3</v>
      </c>
      <c r="D32" s="11">
        <v>3</v>
      </c>
      <c r="E32" s="11" t="s">
        <v>28</v>
      </c>
      <c r="F32" s="11" t="s">
        <v>25</v>
      </c>
      <c r="G32" s="11">
        <v>100</v>
      </c>
      <c r="H32" s="11" t="s">
        <v>58</v>
      </c>
      <c r="I32" s="11"/>
    </row>
    <row r="33" spans="1:11" x14ac:dyDescent="0.15">
      <c r="A33" s="11">
        <v>31</v>
      </c>
      <c r="B33" s="11" t="s">
        <v>52</v>
      </c>
      <c r="C33" s="11">
        <v>4</v>
      </c>
      <c r="D33" s="11">
        <v>3</v>
      </c>
      <c r="E33" s="11" t="s">
        <v>28</v>
      </c>
      <c r="F33" s="11" t="s">
        <v>25</v>
      </c>
      <c r="G33" s="11">
        <v>100</v>
      </c>
      <c r="H33" s="11" t="s">
        <v>59</v>
      </c>
      <c r="I33" s="11"/>
    </row>
    <row r="34" spans="1:11" x14ac:dyDescent="0.15">
      <c r="A34" s="11">
        <v>32</v>
      </c>
      <c r="B34" s="11" t="s">
        <v>52</v>
      </c>
      <c r="C34" s="11">
        <v>5</v>
      </c>
      <c r="D34" s="11">
        <v>3</v>
      </c>
      <c r="E34" s="11" t="s">
        <v>28</v>
      </c>
      <c r="F34" s="11" t="s">
        <v>25</v>
      </c>
      <c r="G34" s="11">
        <v>100</v>
      </c>
      <c r="H34" s="11" t="s">
        <v>60</v>
      </c>
      <c r="I34" s="11"/>
    </row>
    <row r="35" spans="1:11" x14ac:dyDescent="0.15">
      <c r="A35" s="11">
        <v>33</v>
      </c>
      <c r="B35" s="11" t="s">
        <v>52</v>
      </c>
      <c r="C35" s="11">
        <v>6</v>
      </c>
      <c r="D35" s="11">
        <v>3</v>
      </c>
      <c r="E35" s="11" t="s">
        <v>28</v>
      </c>
      <c r="F35" s="11" t="s">
        <v>25</v>
      </c>
      <c r="G35" s="11">
        <v>100</v>
      </c>
      <c r="H35" s="11" t="s">
        <v>61</v>
      </c>
      <c r="I35" s="11"/>
    </row>
    <row r="36" spans="1:11" x14ac:dyDescent="0.15">
      <c r="A36" s="11">
        <v>34</v>
      </c>
      <c r="B36" s="11" t="s">
        <v>52</v>
      </c>
      <c r="C36" s="11">
        <v>7</v>
      </c>
      <c r="D36" s="11">
        <v>3</v>
      </c>
      <c r="E36" s="11" t="s">
        <v>28</v>
      </c>
      <c r="F36" s="11" t="s">
        <v>25</v>
      </c>
      <c r="G36" s="11">
        <v>100</v>
      </c>
      <c r="H36" s="11" t="s">
        <v>62</v>
      </c>
      <c r="I36" s="11"/>
    </row>
    <row r="37" spans="1:11" x14ac:dyDescent="0.15">
      <c r="A37" s="11">
        <v>35</v>
      </c>
      <c r="B37" s="11" t="s">
        <v>52</v>
      </c>
      <c r="C37" s="11">
        <v>1</v>
      </c>
      <c r="D37" s="11">
        <v>154</v>
      </c>
      <c r="E37" s="11" t="s">
        <v>24</v>
      </c>
      <c r="F37" s="11" t="s">
        <v>25</v>
      </c>
      <c r="G37" s="11">
        <v>1</v>
      </c>
      <c r="H37" s="11" t="s">
        <v>63</v>
      </c>
      <c r="I37" s="11"/>
    </row>
    <row r="38" spans="1:11" x14ac:dyDescent="0.15">
      <c r="A38" s="11">
        <v>36</v>
      </c>
      <c r="B38" s="11" t="s">
        <v>52</v>
      </c>
      <c r="C38" s="11">
        <v>2</v>
      </c>
      <c r="D38" s="11">
        <v>154</v>
      </c>
      <c r="E38" s="11" t="s">
        <v>24</v>
      </c>
      <c r="F38" s="11" t="s">
        <v>25</v>
      </c>
      <c r="G38" s="11">
        <v>1</v>
      </c>
      <c r="H38" s="11" t="s">
        <v>64</v>
      </c>
      <c r="I38" s="11"/>
    </row>
    <row r="39" spans="1:11" x14ac:dyDescent="0.15">
      <c r="A39" s="11">
        <v>37</v>
      </c>
      <c r="B39" s="11" t="s">
        <v>65</v>
      </c>
      <c r="C39" s="11">
        <v>1</v>
      </c>
      <c r="D39" s="11">
        <v>0</v>
      </c>
      <c r="E39" s="11" t="s">
        <v>24</v>
      </c>
      <c r="F39" s="11" t="s">
        <v>25</v>
      </c>
      <c r="G39" s="11">
        <v>1</v>
      </c>
      <c r="H39" s="11" t="s">
        <v>66</v>
      </c>
      <c r="I39" s="11"/>
    </row>
    <row r="40" spans="1:11" x14ac:dyDescent="0.15">
      <c r="A40" s="11">
        <v>38</v>
      </c>
      <c r="B40" s="11" t="s">
        <v>65</v>
      </c>
      <c r="C40" s="11">
        <v>1</v>
      </c>
      <c r="D40" s="11">
        <v>1</v>
      </c>
      <c r="E40" s="11" t="s">
        <v>24</v>
      </c>
      <c r="F40" s="11" t="s">
        <v>25</v>
      </c>
      <c r="G40" s="11">
        <v>1</v>
      </c>
      <c r="H40" s="11" t="s">
        <v>67</v>
      </c>
      <c r="I40" s="11"/>
    </row>
    <row r="41" spans="1:11" x14ac:dyDescent="0.15">
      <c r="A41" s="11">
        <v>39</v>
      </c>
      <c r="B41" s="11" t="s">
        <v>65</v>
      </c>
      <c r="C41" s="11">
        <v>0</v>
      </c>
      <c r="D41" s="11">
        <v>3</v>
      </c>
      <c r="E41" s="11" t="s">
        <v>28</v>
      </c>
      <c r="F41" s="11" t="s">
        <v>25</v>
      </c>
      <c r="G41" s="11">
        <v>100</v>
      </c>
      <c r="H41" s="11" t="s">
        <v>68</v>
      </c>
      <c r="I41" s="11"/>
    </row>
    <row r="42" spans="1:11" x14ac:dyDescent="0.15">
      <c r="A42" s="11">
        <v>40</v>
      </c>
      <c r="B42" s="11" t="s">
        <v>65</v>
      </c>
      <c r="C42" s="11">
        <v>1</v>
      </c>
      <c r="D42" s="11">
        <v>3</v>
      </c>
      <c r="E42" s="11" t="s">
        <v>28</v>
      </c>
      <c r="F42" s="11" t="s">
        <v>25</v>
      </c>
      <c r="G42" s="11">
        <v>100</v>
      </c>
      <c r="H42" s="11" t="s">
        <v>69</v>
      </c>
      <c r="I42" s="11"/>
    </row>
    <row r="43" spans="1:11" x14ac:dyDescent="0.15">
      <c r="A43" s="11">
        <v>41</v>
      </c>
      <c r="B43" s="11" t="s">
        <v>65</v>
      </c>
      <c r="C43" s="11">
        <v>2</v>
      </c>
      <c r="D43" s="11">
        <v>3</v>
      </c>
      <c r="E43" s="11" t="s">
        <v>28</v>
      </c>
      <c r="F43" s="11" t="s">
        <v>25</v>
      </c>
      <c r="G43" s="11">
        <v>100</v>
      </c>
      <c r="H43" s="11" t="s">
        <v>70</v>
      </c>
      <c r="I43" s="11"/>
      <c r="J43" s="11" t="s">
        <v>71</v>
      </c>
      <c r="K43" s="11" t="s">
        <v>19</v>
      </c>
    </row>
    <row r="44" spans="1:11" x14ac:dyDescent="0.15">
      <c r="A44" s="11">
        <v>42</v>
      </c>
      <c r="B44" s="11" t="s">
        <v>65</v>
      </c>
      <c r="C44" s="11">
        <v>3</v>
      </c>
      <c r="D44" s="11">
        <v>3</v>
      </c>
      <c r="E44" s="11" t="s">
        <v>28</v>
      </c>
      <c r="F44" s="11" t="s">
        <v>25</v>
      </c>
      <c r="G44" s="11">
        <v>100</v>
      </c>
      <c r="H44" s="11" t="s">
        <v>72</v>
      </c>
      <c r="I44" s="11"/>
      <c r="J44" s="11" t="s">
        <v>24</v>
      </c>
      <c r="K44" s="11" t="s">
        <v>25</v>
      </c>
    </row>
    <row r="45" spans="1:11" x14ac:dyDescent="0.15">
      <c r="A45" s="11">
        <v>43</v>
      </c>
      <c r="B45" s="11" t="s">
        <v>65</v>
      </c>
      <c r="C45" s="11">
        <v>4</v>
      </c>
      <c r="D45" s="11">
        <v>3</v>
      </c>
      <c r="E45" s="11" t="s">
        <v>28</v>
      </c>
      <c r="F45" s="11" t="s">
        <v>25</v>
      </c>
      <c r="G45" s="11">
        <v>100</v>
      </c>
      <c r="H45" s="11" t="s">
        <v>73</v>
      </c>
      <c r="I45" s="11"/>
      <c r="J45" s="11" t="s">
        <v>28</v>
      </c>
      <c r="K45" s="11" t="s">
        <v>74</v>
      </c>
    </row>
    <row r="46" spans="1:11" x14ac:dyDescent="0.15">
      <c r="A46" s="11">
        <v>44</v>
      </c>
      <c r="B46" s="11" t="s">
        <v>65</v>
      </c>
      <c r="C46" s="11">
        <v>5</v>
      </c>
      <c r="D46" s="11">
        <v>3</v>
      </c>
      <c r="E46" s="11" t="s">
        <v>28</v>
      </c>
      <c r="F46" s="11" t="s">
        <v>25</v>
      </c>
      <c r="G46" s="11">
        <v>100</v>
      </c>
      <c r="H46" s="11" t="s">
        <v>75</v>
      </c>
      <c r="I46" s="11"/>
    </row>
    <row r="47" spans="1:11" x14ac:dyDescent="0.15">
      <c r="A47" s="11">
        <v>45</v>
      </c>
      <c r="B47" s="11" t="s">
        <v>65</v>
      </c>
      <c r="C47" s="11">
        <v>6</v>
      </c>
      <c r="D47" s="11">
        <v>3</v>
      </c>
      <c r="E47" s="11" t="s">
        <v>28</v>
      </c>
      <c r="F47" s="11" t="s">
        <v>25</v>
      </c>
      <c r="G47" s="11">
        <v>100</v>
      </c>
      <c r="H47" s="11" t="s">
        <v>76</v>
      </c>
      <c r="I47" s="11"/>
    </row>
    <row r="48" spans="1:11" x14ac:dyDescent="0.15">
      <c r="A48" s="11">
        <v>46</v>
      </c>
      <c r="B48" s="11" t="s">
        <v>65</v>
      </c>
      <c r="C48" s="11">
        <v>7</v>
      </c>
      <c r="D48" s="11">
        <v>3</v>
      </c>
      <c r="E48" s="11" t="s">
        <v>28</v>
      </c>
      <c r="F48" s="11" t="s">
        <v>25</v>
      </c>
      <c r="G48" s="11">
        <v>100</v>
      </c>
      <c r="H48" s="11" t="s">
        <v>77</v>
      </c>
      <c r="I48" s="11"/>
    </row>
    <row r="49" spans="1:9" x14ac:dyDescent="0.15">
      <c r="A49" s="11">
        <v>47</v>
      </c>
      <c r="B49" s="11" t="s">
        <v>65</v>
      </c>
      <c r="C49" s="11">
        <v>1</v>
      </c>
      <c r="D49" s="11">
        <v>154</v>
      </c>
      <c r="E49" s="11" t="s">
        <v>24</v>
      </c>
      <c r="F49" s="11" t="s">
        <v>25</v>
      </c>
      <c r="G49" s="11">
        <v>1</v>
      </c>
      <c r="H49" s="11" t="s">
        <v>78</v>
      </c>
      <c r="I49" s="11"/>
    </row>
    <row r="50" spans="1:9" x14ac:dyDescent="0.15">
      <c r="A50" s="11">
        <v>48</v>
      </c>
      <c r="B50" s="11" t="s">
        <v>65</v>
      </c>
      <c r="C50" s="11">
        <v>2</v>
      </c>
      <c r="D50" s="11">
        <v>154</v>
      </c>
      <c r="E50" s="11" t="s">
        <v>24</v>
      </c>
      <c r="F50" s="11" t="s">
        <v>25</v>
      </c>
      <c r="G50" s="11">
        <v>1</v>
      </c>
      <c r="H50" s="11" t="s">
        <v>79</v>
      </c>
      <c r="I50" s="11"/>
    </row>
    <row r="51" spans="1:9" x14ac:dyDescent="0.15">
      <c r="A51" s="11">
        <v>49</v>
      </c>
      <c r="B51" s="11" t="s">
        <v>80</v>
      </c>
      <c r="C51" s="11">
        <v>5</v>
      </c>
      <c r="D51" s="11">
        <v>63</v>
      </c>
      <c r="E51" s="11" t="s">
        <v>24</v>
      </c>
      <c r="F51" s="11" t="s">
        <v>25</v>
      </c>
      <c r="G51" s="11">
        <v>1</v>
      </c>
      <c r="H51" s="11" t="s">
        <v>81</v>
      </c>
      <c r="I51" s="11"/>
    </row>
    <row r="52" spans="1:9" x14ac:dyDescent="0.15">
      <c r="A52" s="11">
        <v>50</v>
      </c>
      <c r="B52" s="11" t="s">
        <v>80</v>
      </c>
      <c r="C52" s="11">
        <v>7</v>
      </c>
      <c r="D52" s="11">
        <v>63</v>
      </c>
      <c r="E52" s="11" t="s">
        <v>24</v>
      </c>
      <c r="F52" s="11" t="s">
        <v>25</v>
      </c>
      <c r="G52" s="11">
        <v>1</v>
      </c>
      <c r="H52" s="11" t="s">
        <v>82</v>
      </c>
      <c r="I52" s="11"/>
    </row>
    <row r="53" spans="1:9" x14ac:dyDescent="0.15">
      <c r="A53" s="11">
        <v>51</v>
      </c>
      <c r="B53" s="11" t="s">
        <v>80</v>
      </c>
      <c r="C53" s="11">
        <v>5</v>
      </c>
      <c r="D53" s="11">
        <v>64</v>
      </c>
      <c r="E53" s="11" t="s">
        <v>24</v>
      </c>
      <c r="F53" s="11" t="s">
        <v>25</v>
      </c>
      <c r="G53" s="11">
        <v>1</v>
      </c>
      <c r="H53" s="11" t="s">
        <v>83</v>
      </c>
      <c r="I53" s="11"/>
    </row>
    <row r="54" spans="1:9" x14ac:dyDescent="0.15">
      <c r="A54" s="11">
        <v>52</v>
      </c>
      <c r="B54" s="11" t="s">
        <v>80</v>
      </c>
      <c r="C54" s="11">
        <v>7</v>
      </c>
      <c r="D54" s="11">
        <v>64</v>
      </c>
      <c r="E54" s="11" t="s">
        <v>24</v>
      </c>
      <c r="F54" s="11" t="s">
        <v>25</v>
      </c>
      <c r="G54" s="11">
        <v>1</v>
      </c>
      <c r="H54" s="11" t="s">
        <v>84</v>
      </c>
      <c r="I54" s="11"/>
    </row>
    <row r="55" spans="1:9" x14ac:dyDescent="0.15">
      <c r="A55" s="11">
        <v>53</v>
      </c>
      <c r="B55" s="11" t="s">
        <v>80</v>
      </c>
      <c r="C55" s="11">
        <v>10</v>
      </c>
      <c r="D55" s="11">
        <v>64</v>
      </c>
      <c r="E55" s="11" t="s">
        <v>24</v>
      </c>
      <c r="F55" s="11" t="s">
        <v>25</v>
      </c>
      <c r="G55" s="11">
        <v>1</v>
      </c>
      <c r="H55" s="11" t="s">
        <v>85</v>
      </c>
      <c r="I55" s="11"/>
    </row>
    <row r="56" spans="1:9" x14ac:dyDescent="0.15">
      <c r="A56" s="11">
        <v>54</v>
      </c>
      <c r="B56" s="11" t="s">
        <v>80</v>
      </c>
      <c r="C56" s="11">
        <v>6</v>
      </c>
      <c r="D56" s="11">
        <v>65</v>
      </c>
      <c r="E56" s="11" t="s">
        <v>24</v>
      </c>
      <c r="F56" s="11" t="s">
        <v>25</v>
      </c>
      <c r="G56" s="11">
        <v>1</v>
      </c>
      <c r="H56" s="11" t="s">
        <v>86</v>
      </c>
      <c r="I56" s="11"/>
    </row>
    <row r="57" spans="1:9" x14ac:dyDescent="0.15">
      <c r="A57" s="11">
        <v>55</v>
      </c>
      <c r="B57" s="11" t="s">
        <v>80</v>
      </c>
      <c r="C57" s="11">
        <v>6</v>
      </c>
      <c r="D57" s="11">
        <v>66</v>
      </c>
      <c r="E57" s="11" t="s">
        <v>24</v>
      </c>
      <c r="F57" s="11" t="s">
        <v>25</v>
      </c>
      <c r="G57" s="11">
        <v>1</v>
      </c>
      <c r="H57" s="11" t="s">
        <v>87</v>
      </c>
      <c r="I57" s="11"/>
    </row>
    <row r="58" spans="1:9" x14ac:dyDescent="0.15">
      <c r="A58" s="11">
        <v>56</v>
      </c>
      <c r="B58" s="11" t="s">
        <v>80</v>
      </c>
      <c r="C58" s="11">
        <v>6</v>
      </c>
      <c r="D58" s="11">
        <v>67</v>
      </c>
      <c r="E58" s="11" t="s">
        <v>24</v>
      </c>
      <c r="F58" s="11" t="s">
        <v>25</v>
      </c>
      <c r="G58" s="11">
        <v>1</v>
      </c>
      <c r="H58" s="11" t="s">
        <v>88</v>
      </c>
      <c r="I58" s="11"/>
    </row>
    <row r="59" spans="1:9" x14ac:dyDescent="0.15">
      <c r="A59" s="11">
        <v>57</v>
      </c>
      <c r="B59" s="11" t="s">
        <v>80</v>
      </c>
      <c r="C59" s="11">
        <v>17</v>
      </c>
      <c r="D59" s="11">
        <v>62</v>
      </c>
      <c r="E59" s="11" t="s">
        <v>24</v>
      </c>
      <c r="F59" s="11" t="s">
        <v>25</v>
      </c>
      <c r="G59" s="11">
        <v>1</v>
      </c>
      <c r="H59" s="11" t="s">
        <v>89</v>
      </c>
      <c r="I59" s="11"/>
    </row>
    <row r="60" spans="1:9" x14ac:dyDescent="0.15">
      <c r="A60" s="11">
        <v>58</v>
      </c>
      <c r="B60" s="11" t="s">
        <v>80</v>
      </c>
      <c r="C60" s="11">
        <v>17</v>
      </c>
      <c r="D60" s="11">
        <v>63</v>
      </c>
      <c r="E60" s="11" t="s">
        <v>24</v>
      </c>
      <c r="F60" s="11" t="s">
        <v>25</v>
      </c>
      <c r="G60" s="11">
        <v>1</v>
      </c>
      <c r="H60" s="11" t="s">
        <v>90</v>
      </c>
      <c r="I60" s="11"/>
    </row>
    <row r="61" spans="1:9" x14ac:dyDescent="0.15">
      <c r="A61" s="11">
        <v>59</v>
      </c>
      <c r="B61" s="11" t="s">
        <v>80</v>
      </c>
      <c r="C61" s="11">
        <v>19</v>
      </c>
      <c r="D61" s="11">
        <v>63</v>
      </c>
      <c r="E61" s="11" t="s">
        <v>24</v>
      </c>
      <c r="F61" s="11" t="s">
        <v>25</v>
      </c>
      <c r="G61" s="11">
        <v>1</v>
      </c>
      <c r="H61" s="11" t="s">
        <v>91</v>
      </c>
      <c r="I61" s="11"/>
    </row>
    <row r="62" spans="1:9" x14ac:dyDescent="0.15">
      <c r="A62" s="11">
        <v>60</v>
      </c>
      <c r="B62" s="11" t="s">
        <v>92</v>
      </c>
      <c r="C62" s="11">
        <v>5</v>
      </c>
      <c r="D62" s="11">
        <v>63</v>
      </c>
      <c r="E62" s="11" t="s">
        <v>24</v>
      </c>
      <c r="F62" s="11" t="s">
        <v>25</v>
      </c>
      <c r="G62" s="11">
        <v>1</v>
      </c>
      <c r="H62" s="11" t="s">
        <v>93</v>
      </c>
      <c r="I62" s="11"/>
    </row>
    <row r="63" spans="1:9" x14ac:dyDescent="0.15">
      <c r="A63" s="11">
        <v>61</v>
      </c>
      <c r="B63" s="11" t="s">
        <v>92</v>
      </c>
      <c r="C63" s="11">
        <v>7</v>
      </c>
      <c r="D63" s="11">
        <v>63</v>
      </c>
      <c r="E63" s="11" t="s">
        <v>24</v>
      </c>
      <c r="F63" s="11" t="s">
        <v>25</v>
      </c>
      <c r="G63" s="11">
        <v>1</v>
      </c>
      <c r="H63" s="11" t="s">
        <v>94</v>
      </c>
      <c r="I63" s="11"/>
    </row>
    <row r="64" spans="1:9" x14ac:dyDescent="0.15">
      <c r="A64" s="11">
        <v>62</v>
      </c>
      <c r="B64" s="11" t="s">
        <v>92</v>
      </c>
      <c r="C64" s="11">
        <v>5</v>
      </c>
      <c r="D64" s="11">
        <v>64</v>
      </c>
      <c r="E64" s="11" t="s">
        <v>24</v>
      </c>
      <c r="F64" s="11" t="s">
        <v>25</v>
      </c>
      <c r="G64" s="11">
        <v>1</v>
      </c>
      <c r="H64" s="11" t="s">
        <v>95</v>
      </c>
      <c r="I64" s="11"/>
    </row>
    <row r="65" spans="1:9" x14ac:dyDescent="0.15">
      <c r="A65" s="11">
        <v>63</v>
      </c>
      <c r="B65" s="11" t="s">
        <v>92</v>
      </c>
      <c r="C65" s="11">
        <v>7</v>
      </c>
      <c r="D65" s="11">
        <v>64</v>
      </c>
      <c r="E65" s="11" t="s">
        <v>24</v>
      </c>
      <c r="F65" s="11" t="s">
        <v>25</v>
      </c>
      <c r="G65" s="11">
        <v>1</v>
      </c>
      <c r="H65" s="11" t="s">
        <v>96</v>
      </c>
      <c r="I65" s="11"/>
    </row>
    <row r="66" spans="1:9" x14ac:dyDescent="0.15">
      <c r="A66" s="11">
        <v>64</v>
      </c>
      <c r="B66" s="11" t="s">
        <v>92</v>
      </c>
      <c r="C66" s="11">
        <v>10</v>
      </c>
      <c r="D66" s="11">
        <v>64</v>
      </c>
      <c r="E66" s="11" t="s">
        <v>24</v>
      </c>
      <c r="F66" s="11" t="s">
        <v>25</v>
      </c>
      <c r="G66" s="11">
        <v>1</v>
      </c>
      <c r="H66" s="11" t="s">
        <v>97</v>
      </c>
      <c r="I66" s="11"/>
    </row>
    <row r="67" spans="1:9" x14ac:dyDescent="0.15">
      <c r="A67" s="11">
        <v>65</v>
      </c>
      <c r="B67" s="11" t="s">
        <v>92</v>
      </c>
      <c r="C67" s="11">
        <v>6</v>
      </c>
      <c r="D67" s="11">
        <v>65</v>
      </c>
      <c r="E67" s="11" t="s">
        <v>24</v>
      </c>
      <c r="F67" s="11" t="s">
        <v>25</v>
      </c>
      <c r="G67" s="11">
        <v>1</v>
      </c>
      <c r="H67" s="11" t="s">
        <v>98</v>
      </c>
      <c r="I67" s="11"/>
    </row>
    <row r="68" spans="1:9" x14ac:dyDescent="0.15">
      <c r="A68" s="11">
        <v>66</v>
      </c>
      <c r="B68" s="11" t="s">
        <v>92</v>
      </c>
      <c r="C68" s="11">
        <v>6</v>
      </c>
      <c r="D68" s="11">
        <v>66</v>
      </c>
      <c r="E68" s="11" t="s">
        <v>24</v>
      </c>
      <c r="F68" s="11" t="s">
        <v>25</v>
      </c>
      <c r="G68" s="11">
        <v>1</v>
      </c>
      <c r="H68" s="11" t="s">
        <v>99</v>
      </c>
      <c r="I68" s="11"/>
    </row>
    <row r="69" spans="1:9" x14ac:dyDescent="0.15">
      <c r="A69" s="11">
        <v>67</v>
      </c>
      <c r="B69" s="11" t="s">
        <v>92</v>
      </c>
      <c r="C69" s="11">
        <v>6</v>
      </c>
      <c r="D69" s="11">
        <v>67</v>
      </c>
      <c r="E69" s="11" t="s">
        <v>24</v>
      </c>
      <c r="F69" s="11" t="s">
        <v>25</v>
      </c>
      <c r="G69" s="11">
        <v>1</v>
      </c>
      <c r="H69" s="11" t="s">
        <v>100</v>
      </c>
      <c r="I69" s="11"/>
    </row>
    <row r="70" spans="1:9" x14ac:dyDescent="0.15">
      <c r="A70" s="11">
        <v>68</v>
      </c>
      <c r="B70" s="11" t="s">
        <v>92</v>
      </c>
      <c r="C70" s="11">
        <v>17</v>
      </c>
      <c r="D70" s="11">
        <v>62</v>
      </c>
      <c r="E70" s="11" t="s">
        <v>24</v>
      </c>
      <c r="F70" s="11" t="s">
        <v>25</v>
      </c>
      <c r="G70" s="11">
        <v>1</v>
      </c>
      <c r="H70" s="11" t="s">
        <v>101</v>
      </c>
      <c r="I70" s="11"/>
    </row>
    <row r="71" spans="1:9" x14ac:dyDescent="0.15">
      <c r="A71" s="11">
        <v>69</v>
      </c>
      <c r="B71" s="11" t="s">
        <v>92</v>
      </c>
      <c r="C71" s="11">
        <v>17</v>
      </c>
      <c r="D71" s="11">
        <v>63</v>
      </c>
      <c r="E71" s="11" t="s">
        <v>24</v>
      </c>
      <c r="F71" s="11" t="s">
        <v>25</v>
      </c>
      <c r="G71" s="11">
        <v>1</v>
      </c>
      <c r="H71" s="11" t="s">
        <v>102</v>
      </c>
      <c r="I71" s="11"/>
    </row>
    <row r="72" spans="1:9" x14ac:dyDescent="0.15">
      <c r="A72" s="11">
        <v>70</v>
      </c>
      <c r="B72" s="11" t="s">
        <v>92</v>
      </c>
      <c r="C72" s="11">
        <v>19</v>
      </c>
      <c r="D72" s="11">
        <v>63</v>
      </c>
      <c r="E72" s="11" t="s">
        <v>24</v>
      </c>
      <c r="F72" s="11" t="s">
        <v>25</v>
      </c>
      <c r="G72" s="11">
        <v>1</v>
      </c>
      <c r="H72" s="11" t="s">
        <v>103</v>
      </c>
      <c r="I72" s="11"/>
    </row>
    <row r="73" spans="1:9" x14ac:dyDescent="0.15">
      <c r="A73" s="11">
        <v>71</v>
      </c>
      <c r="B73" s="11" t="s">
        <v>104</v>
      </c>
      <c r="C73" s="11">
        <v>5</v>
      </c>
      <c r="D73" s="11">
        <v>63</v>
      </c>
      <c r="E73" s="11" t="s">
        <v>24</v>
      </c>
      <c r="F73" s="11" t="s">
        <v>25</v>
      </c>
      <c r="G73" s="11">
        <v>1</v>
      </c>
      <c r="H73" s="11" t="s">
        <v>105</v>
      </c>
      <c r="I73" s="11"/>
    </row>
    <row r="74" spans="1:9" x14ac:dyDescent="0.15">
      <c r="A74" s="11">
        <v>72</v>
      </c>
      <c r="B74" s="11" t="s">
        <v>104</v>
      </c>
      <c r="C74" s="11">
        <v>7</v>
      </c>
      <c r="D74" s="11">
        <v>63</v>
      </c>
      <c r="E74" s="11" t="s">
        <v>24</v>
      </c>
      <c r="F74" s="11" t="s">
        <v>25</v>
      </c>
      <c r="G74" s="11">
        <v>1</v>
      </c>
      <c r="H74" s="11" t="s">
        <v>106</v>
      </c>
      <c r="I74" s="11"/>
    </row>
    <row r="75" spans="1:9" x14ac:dyDescent="0.15">
      <c r="A75" s="11">
        <v>73</v>
      </c>
      <c r="B75" s="11" t="s">
        <v>104</v>
      </c>
      <c r="C75" s="11">
        <v>5</v>
      </c>
      <c r="D75" s="11">
        <v>64</v>
      </c>
      <c r="E75" s="11" t="s">
        <v>24</v>
      </c>
      <c r="F75" s="11" t="s">
        <v>25</v>
      </c>
      <c r="G75" s="11">
        <v>1</v>
      </c>
      <c r="H75" s="11" t="s">
        <v>107</v>
      </c>
      <c r="I75" s="11"/>
    </row>
    <row r="76" spans="1:9" x14ac:dyDescent="0.15">
      <c r="A76" s="11">
        <v>74</v>
      </c>
      <c r="B76" s="11" t="s">
        <v>104</v>
      </c>
      <c r="C76" s="11">
        <v>7</v>
      </c>
      <c r="D76" s="11">
        <v>64</v>
      </c>
      <c r="E76" s="11" t="s">
        <v>24</v>
      </c>
      <c r="F76" s="11" t="s">
        <v>25</v>
      </c>
      <c r="G76" s="11">
        <v>1</v>
      </c>
      <c r="H76" s="11" t="s">
        <v>108</v>
      </c>
      <c r="I76" s="11"/>
    </row>
    <row r="77" spans="1:9" x14ac:dyDescent="0.15">
      <c r="A77" s="11">
        <v>75</v>
      </c>
      <c r="B77" s="11" t="s">
        <v>104</v>
      </c>
      <c r="C77" s="11">
        <v>10</v>
      </c>
      <c r="D77" s="11">
        <v>64</v>
      </c>
      <c r="E77" s="11" t="s">
        <v>24</v>
      </c>
      <c r="F77" s="11" t="s">
        <v>25</v>
      </c>
      <c r="G77" s="11">
        <v>1</v>
      </c>
      <c r="H77" s="11" t="s">
        <v>109</v>
      </c>
      <c r="I77" s="11"/>
    </row>
    <row r="78" spans="1:9" x14ac:dyDescent="0.15">
      <c r="A78" s="11">
        <v>76</v>
      </c>
      <c r="B78" s="11" t="s">
        <v>104</v>
      </c>
      <c r="C78" s="11">
        <v>6</v>
      </c>
      <c r="D78" s="11">
        <v>65</v>
      </c>
      <c r="E78" s="11" t="s">
        <v>24</v>
      </c>
      <c r="F78" s="11" t="s">
        <v>25</v>
      </c>
      <c r="G78" s="11">
        <v>1</v>
      </c>
      <c r="H78" s="11" t="s">
        <v>110</v>
      </c>
      <c r="I78" s="11"/>
    </row>
    <row r="79" spans="1:9" x14ac:dyDescent="0.15">
      <c r="A79" s="11">
        <v>77</v>
      </c>
      <c r="B79" s="11" t="s">
        <v>104</v>
      </c>
      <c r="C79" s="11">
        <v>6</v>
      </c>
      <c r="D79" s="11">
        <v>66</v>
      </c>
      <c r="E79" s="11" t="s">
        <v>24</v>
      </c>
      <c r="F79" s="11" t="s">
        <v>25</v>
      </c>
      <c r="G79" s="11">
        <v>1</v>
      </c>
      <c r="H79" s="11" t="s">
        <v>111</v>
      </c>
      <c r="I79" s="11"/>
    </row>
    <row r="80" spans="1:9" x14ac:dyDescent="0.15">
      <c r="A80" s="11">
        <v>78</v>
      </c>
      <c r="B80" s="11" t="s">
        <v>104</v>
      </c>
      <c r="C80" s="11">
        <v>6</v>
      </c>
      <c r="D80" s="11">
        <v>67</v>
      </c>
      <c r="E80" s="11" t="s">
        <v>24</v>
      </c>
      <c r="F80" s="11" t="s">
        <v>25</v>
      </c>
      <c r="G80" s="11">
        <v>1</v>
      </c>
      <c r="H80" s="11" t="s">
        <v>112</v>
      </c>
      <c r="I80" s="11"/>
    </row>
    <row r="81" spans="1:9" x14ac:dyDescent="0.15">
      <c r="A81" s="11">
        <v>79</v>
      </c>
      <c r="B81" s="11" t="s">
        <v>104</v>
      </c>
      <c r="C81" s="11">
        <v>17</v>
      </c>
      <c r="D81" s="11">
        <v>62</v>
      </c>
      <c r="E81" s="11" t="s">
        <v>24</v>
      </c>
      <c r="F81" s="11" t="s">
        <v>25</v>
      </c>
      <c r="G81" s="11">
        <v>1</v>
      </c>
      <c r="H81" s="11" t="s">
        <v>113</v>
      </c>
      <c r="I81" s="11"/>
    </row>
    <row r="82" spans="1:9" x14ac:dyDescent="0.15">
      <c r="A82" s="11">
        <v>80</v>
      </c>
      <c r="B82" s="11" t="s">
        <v>104</v>
      </c>
      <c r="C82" s="11">
        <v>17</v>
      </c>
      <c r="D82" s="11">
        <v>63</v>
      </c>
      <c r="E82" s="11" t="s">
        <v>24</v>
      </c>
      <c r="F82" s="11" t="s">
        <v>25</v>
      </c>
      <c r="G82" s="11">
        <v>1</v>
      </c>
      <c r="H82" s="11" t="s">
        <v>114</v>
      </c>
      <c r="I82" s="11"/>
    </row>
    <row r="83" spans="1:9" x14ac:dyDescent="0.15">
      <c r="A83" s="11">
        <v>81</v>
      </c>
      <c r="B83" s="11" t="s">
        <v>104</v>
      </c>
      <c r="C83" s="11">
        <v>19</v>
      </c>
      <c r="D83" s="11">
        <v>63</v>
      </c>
      <c r="E83" s="11" t="s">
        <v>24</v>
      </c>
      <c r="F83" s="11" t="s">
        <v>25</v>
      </c>
      <c r="G83" s="11">
        <v>1</v>
      </c>
      <c r="H83" s="11" t="s">
        <v>115</v>
      </c>
      <c r="I83" s="11"/>
    </row>
    <row r="84" spans="1:9" x14ac:dyDescent="0.15">
      <c r="A84" s="11">
        <v>82</v>
      </c>
      <c r="B84" s="11" t="s">
        <v>116</v>
      </c>
      <c r="C84" s="11">
        <v>5</v>
      </c>
      <c r="D84" s="11">
        <v>63</v>
      </c>
      <c r="E84" s="11" t="s">
        <v>24</v>
      </c>
      <c r="F84" s="11" t="s">
        <v>25</v>
      </c>
      <c r="G84" s="11">
        <v>1</v>
      </c>
      <c r="H84" s="11" t="s">
        <v>117</v>
      </c>
      <c r="I84" s="11"/>
    </row>
    <row r="85" spans="1:9" x14ac:dyDescent="0.15">
      <c r="A85" s="11">
        <v>83</v>
      </c>
      <c r="B85" s="11" t="s">
        <v>116</v>
      </c>
      <c r="C85" s="11">
        <v>7</v>
      </c>
      <c r="D85" s="11">
        <v>63</v>
      </c>
      <c r="E85" s="11" t="s">
        <v>24</v>
      </c>
      <c r="F85" s="11" t="s">
        <v>25</v>
      </c>
      <c r="G85" s="11">
        <v>1</v>
      </c>
      <c r="H85" s="11" t="s">
        <v>118</v>
      </c>
      <c r="I85" s="11"/>
    </row>
    <row r="86" spans="1:9" x14ac:dyDescent="0.15">
      <c r="A86" s="11">
        <v>84</v>
      </c>
      <c r="B86" s="11" t="s">
        <v>116</v>
      </c>
      <c r="C86" s="11">
        <v>5</v>
      </c>
      <c r="D86" s="11">
        <v>64</v>
      </c>
      <c r="E86" s="11" t="s">
        <v>24</v>
      </c>
      <c r="F86" s="11" t="s">
        <v>25</v>
      </c>
      <c r="G86" s="11">
        <v>1</v>
      </c>
      <c r="H86" s="11" t="s">
        <v>119</v>
      </c>
      <c r="I86" s="11"/>
    </row>
    <row r="87" spans="1:9" x14ac:dyDescent="0.15">
      <c r="A87" s="11">
        <v>85</v>
      </c>
      <c r="B87" s="11" t="s">
        <v>116</v>
      </c>
      <c r="C87" s="11">
        <v>7</v>
      </c>
      <c r="D87" s="11">
        <v>64</v>
      </c>
      <c r="E87" s="11" t="s">
        <v>24</v>
      </c>
      <c r="F87" s="11" t="s">
        <v>25</v>
      </c>
      <c r="G87" s="11">
        <v>1</v>
      </c>
      <c r="H87" s="11" t="s">
        <v>120</v>
      </c>
      <c r="I87" s="11"/>
    </row>
    <row r="88" spans="1:9" x14ac:dyDescent="0.15">
      <c r="A88" s="11">
        <v>86</v>
      </c>
      <c r="B88" s="11" t="s">
        <v>116</v>
      </c>
      <c r="C88" s="11">
        <v>10</v>
      </c>
      <c r="D88" s="11">
        <v>64</v>
      </c>
      <c r="E88" s="11" t="s">
        <v>24</v>
      </c>
      <c r="F88" s="11" t="s">
        <v>25</v>
      </c>
      <c r="G88" s="11">
        <v>1</v>
      </c>
      <c r="H88" s="11" t="s">
        <v>121</v>
      </c>
      <c r="I88" s="11"/>
    </row>
    <row r="89" spans="1:9" x14ac:dyDescent="0.15">
      <c r="A89" s="11">
        <v>87</v>
      </c>
      <c r="B89" s="11" t="s">
        <v>116</v>
      </c>
      <c r="C89" s="11">
        <v>6</v>
      </c>
      <c r="D89" s="11">
        <v>65</v>
      </c>
      <c r="E89" s="11" t="s">
        <v>24</v>
      </c>
      <c r="F89" s="11" t="s">
        <v>25</v>
      </c>
      <c r="G89" s="11">
        <v>1</v>
      </c>
      <c r="H89" s="11" t="s">
        <v>122</v>
      </c>
      <c r="I89" s="11"/>
    </row>
    <row r="90" spans="1:9" x14ac:dyDescent="0.15">
      <c r="A90" s="11">
        <v>88</v>
      </c>
      <c r="B90" s="11" t="s">
        <v>116</v>
      </c>
      <c r="C90" s="11">
        <v>6</v>
      </c>
      <c r="D90" s="11">
        <v>66</v>
      </c>
      <c r="E90" s="11" t="s">
        <v>24</v>
      </c>
      <c r="F90" s="11" t="s">
        <v>25</v>
      </c>
      <c r="G90" s="11">
        <v>1</v>
      </c>
      <c r="H90" s="11" t="s">
        <v>123</v>
      </c>
      <c r="I90" s="11"/>
    </row>
    <row r="91" spans="1:9" x14ac:dyDescent="0.15">
      <c r="A91" s="11">
        <v>89</v>
      </c>
      <c r="B91" s="11" t="s">
        <v>116</v>
      </c>
      <c r="C91" s="11">
        <v>6</v>
      </c>
      <c r="D91" s="11">
        <v>67</v>
      </c>
      <c r="E91" s="11" t="s">
        <v>24</v>
      </c>
      <c r="F91" s="11" t="s">
        <v>25</v>
      </c>
      <c r="G91" s="11">
        <v>1</v>
      </c>
      <c r="H91" s="11" t="s">
        <v>124</v>
      </c>
      <c r="I91" s="11"/>
    </row>
    <row r="92" spans="1:9" x14ac:dyDescent="0.15">
      <c r="A92" s="11">
        <v>90</v>
      </c>
      <c r="B92" s="11" t="s">
        <v>116</v>
      </c>
      <c r="C92" s="11">
        <v>17</v>
      </c>
      <c r="D92" s="11">
        <v>62</v>
      </c>
      <c r="E92" s="11" t="s">
        <v>24</v>
      </c>
      <c r="F92" s="11" t="s">
        <v>25</v>
      </c>
      <c r="G92" s="11">
        <v>1</v>
      </c>
      <c r="H92" s="11" t="s">
        <v>125</v>
      </c>
      <c r="I92" s="11"/>
    </row>
    <row r="93" spans="1:9" x14ac:dyDescent="0.15">
      <c r="A93" s="11">
        <v>91</v>
      </c>
      <c r="B93" s="11" t="s">
        <v>116</v>
      </c>
      <c r="C93" s="11">
        <v>17</v>
      </c>
      <c r="D93" s="11">
        <v>63</v>
      </c>
      <c r="E93" s="11" t="s">
        <v>24</v>
      </c>
      <c r="F93" s="11" t="s">
        <v>25</v>
      </c>
      <c r="G93" s="11">
        <v>1</v>
      </c>
      <c r="H93" s="11" t="s">
        <v>126</v>
      </c>
      <c r="I93" s="11"/>
    </row>
    <row r="94" spans="1:9" x14ac:dyDescent="0.15">
      <c r="A94" s="11">
        <v>92</v>
      </c>
      <c r="B94" s="11" t="s">
        <v>116</v>
      </c>
      <c r="C94" s="11">
        <v>19</v>
      </c>
      <c r="D94" s="11">
        <v>63</v>
      </c>
      <c r="E94" s="11" t="s">
        <v>24</v>
      </c>
      <c r="F94" s="11" t="s">
        <v>25</v>
      </c>
      <c r="G94" s="11">
        <v>1</v>
      </c>
      <c r="H94" s="11" t="s">
        <v>127</v>
      </c>
      <c r="I94" s="11"/>
    </row>
    <row r="95" spans="1:9" x14ac:dyDescent="0.15">
      <c r="A95" s="11">
        <v>93</v>
      </c>
      <c r="B95" s="11" t="s">
        <v>128</v>
      </c>
      <c r="C95" s="11">
        <v>4</v>
      </c>
      <c r="D95" s="11">
        <v>1</v>
      </c>
      <c r="E95" s="11" t="s">
        <v>24</v>
      </c>
      <c r="F95" s="11" t="s">
        <v>25</v>
      </c>
      <c r="G95" s="11">
        <v>1</v>
      </c>
      <c r="H95" s="11" t="s">
        <v>129</v>
      </c>
      <c r="I95" s="11"/>
    </row>
    <row r="96" spans="1:9" x14ac:dyDescent="0.15">
      <c r="A96" s="11">
        <v>94</v>
      </c>
      <c r="B96" s="11" t="s">
        <v>128</v>
      </c>
      <c r="C96" s="11">
        <v>5</v>
      </c>
      <c r="D96" s="11">
        <v>2</v>
      </c>
      <c r="E96" s="11" t="s">
        <v>24</v>
      </c>
      <c r="F96" s="11" t="s">
        <v>25</v>
      </c>
      <c r="G96" s="11">
        <v>1</v>
      </c>
      <c r="H96" s="11" t="s">
        <v>130</v>
      </c>
      <c r="I96" s="11"/>
    </row>
    <row r="97" spans="1:9" x14ac:dyDescent="0.15">
      <c r="A97" s="11">
        <v>95</v>
      </c>
      <c r="B97" s="11" t="s">
        <v>128</v>
      </c>
      <c r="C97" s="11">
        <v>5</v>
      </c>
      <c r="D97" s="11">
        <v>3</v>
      </c>
      <c r="E97" s="11" t="s">
        <v>24</v>
      </c>
      <c r="F97" s="11" t="s">
        <v>25</v>
      </c>
      <c r="G97" s="11">
        <v>1</v>
      </c>
      <c r="H97" s="11" t="s">
        <v>131</v>
      </c>
      <c r="I97" s="11"/>
    </row>
    <row r="98" spans="1:9" x14ac:dyDescent="0.15">
      <c r="A98" s="11">
        <v>96</v>
      </c>
      <c r="B98" s="11"/>
      <c r="C98" s="11"/>
      <c r="D98" s="11"/>
      <c r="E98" s="11"/>
      <c r="F98" s="11"/>
      <c r="G98" s="11"/>
      <c r="H98" s="11"/>
      <c r="I98" s="11"/>
    </row>
    <row r="99" spans="1:9" x14ac:dyDescent="0.15">
      <c r="A99" s="11">
        <v>97</v>
      </c>
      <c r="B99" s="11"/>
      <c r="C99" s="11"/>
      <c r="D99" s="11"/>
      <c r="E99" s="11"/>
      <c r="F99" s="11"/>
      <c r="G99" s="11"/>
      <c r="H99" s="11"/>
      <c r="I99" s="11"/>
    </row>
    <row r="100" spans="1:9" x14ac:dyDescent="0.15">
      <c r="A100" s="11">
        <v>98</v>
      </c>
      <c r="B100" s="11"/>
      <c r="C100" s="11"/>
      <c r="D100" s="11"/>
      <c r="E100" s="11"/>
      <c r="F100" s="11"/>
      <c r="G100" s="11"/>
      <c r="H100" s="11"/>
      <c r="I100" s="11"/>
    </row>
  </sheetData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原料情報１</vt:lpstr>
      <vt:lpstr>原料情報２</vt:lpstr>
      <vt:lpstr>原料情報３</vt:lpstr>
      <vt:lpstr>原料情報４</vt:lpstr>
      <vt:lpstr>表示案１</vt:lpstr>
      <vt:lpstr>表示案２</vt:lpstr>
      <vt:lpstr>表示案３</vt:lpstr>
      <vt:lpstr>表示案４</vt:lpstr>
      <vt:lpstr>サンプル説明書</vt:lpstr>
      <vt:lpstr>Setting</vt:lpstr>
      <vt:lpstr>サンプル説明書!Print_Area</vt:lpstr>
      <vt:lpstr>表示案１!Print_Area</vt:lpstr>
      <vt:lpstr>表示案２!Print_Area</vt:lpstr>
      <vt:lpstr>表示案３!Print_Area</vt:lpstr>
      <vt:lpstr>表示案４!Print_Area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河内佳織</cp:lastModifiedBy>
  <cp:lastPrinted>2011-07-26T09:41:50Z</cp:lastPrinted>
  <dcterms:created xsi:type="dcterms:W3CDTF">2011-07-26T09:30:39Z</dcterms:created>
  <dcterms:modified xsi:type="dcterms:W3CDTF">2023-06-29T06:19:35Z</dcterms:modified>
</cp:coreProperties>
</file>